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ssiany.freitas\Downloads\Gessiany\"/>
    </mc:Choice>
  </mc:AlternateContent>
  <xr:revisionPtr revIDLastSave="0" documentId="13_ncr:1_{89B1A20A-67CD-4EA5-A684-00AE39ABC82F}" xr6:coauthVersionLast="47" xr6:coauthVersionMax="47" xr10:uidLastSave="{00000000-0000-0000-0000-000000000000}"/>
  <bookViews>
    <workbookView xWindow="-28920" yWindow="0" windowWidth="29040" windowHeight="15840" xr2:uid="{C18F5553-924D-46C1-AE62-7DAD14DA1F1C}"/>
  </bookViews>
  <sheets>
    <sheet name="Planilha1" sheetId="1" r:id="rId1"/>
    <sheet name="Python" sheetId="2" r:id="rId2"/>
  </sheets>
  <definedNames>
    <definedName name="_xlnm._FilterDatabase" localSheetId="0" hidden="1">Planilha1!$C$2:$E$152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3" i="1" l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F22" i="1"/>
  <c r="F21" i="1"/>
  <c r="F20" i="1"/>
  <c r="F19" i="1"/>
  <c r="F18" i="1"/>
  <c r="F17" i="1"/>
  <c r="O17" i="1" s="1"/>
  <c r="F16" i="1"/>
  <c r="O16" i="1" s="1"/>
  <c r="F15" i="1"/>
  <c r="O15" i="1" s="1"/>
  <c r="F14" i="1"/>
  <c r="F13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O13" i="1"/>
  <c r="O14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O9" i="1"/>
  <c r="O10" i="1"/>
  <c r="O11" i="1"/>
  <c r="O12" i="1"/>
  <c r="M9" i="1"/>
  <c r="M10" i="1"/>
  <c r="M11" i="1"/>
  <c r="M12" i="1"/>
  <c r="F12" i="1"/>
  <c r="F11" i="1"/>
  <c r="F10" i="1"/>
  <c r="F9" i="1"/>
  <c r="N12" i="1"/>
  <c r="N11" i="1"/>
  <c r="N10" i="1"/>
  <c r="N9" i="1"/>
  <c r="N8" i="1"/>
  <c r="M8" i="1"/>
  <c r="O8" i="1"/>
  <c r="P12" i="1"/>
  <c r="P11" i="1"/>
  <c r="P10" i="1"/>
  <c r="P9" i="1"/>
  <c r="P8" i="1"/>
  <c r="F8" i="1"/>
  <c r="M7" i="1"/>
  <c r="P4" i="1"/>
  <c r="P5" i="1"/>
  <c r="P6" i="1"/>
  <c r="P7" i="1"/>
  <c r="P3" i="1"/>
  <c r="O4" i="1"/>
  <c r="O5" i="1"/>
  <c r="O6" i="1"/>
  <c r="O7" i="1"/>
  <c r="O3" i="1"/>
  <c r="N4" i="1"/>
  <c r="N5" i="1"/>
  <c r="N6" i="1"/>
  <c r="N7" i="1"/>
  <c r="N3" i="1"/>
  <c r="M4" i="1"/>
  <c r="M5" i="1"/>
  <c r="M6" i="1"/>
  <c r="M3" i="1"/>
  <c r="F7" i="1"/>
  <c r="F6" i="1"/>
  <c r="F5" i="1"/>
  <c r="F4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Gessiany Lima de Freitas</author>
  </authors>
  <commentList>
    <comment ref="C2" authorId="0" shapeId="0" xr:uid="{B515F10D-114A-432A-B5EC-8AB3868B713C}">
      <text>
        <r>
          <rPr>
            <b/>
            <sz val="9"/>
            <color indexed="81"/>
            <rFont val="Segoe UI"/>
            <family val="2"/>
          </rPr>
          <t xml:space="preserve">Gessiany Lima de Freitas:
</t>
        </r>
        <r>
          <rPr>
            <sz val="9"/>
            <color indexed="81"/>
            <rFont val="Segoe UI"/>
            <family val="2"/>
          </rPr>
          <t xml:space="preserve">
Código da ação na B3</t>
        </r>
      </text>
    </comment>
    <comment ref="D2" authorId="0" shapeId="0" xr:uid="{F582EEA5-E392-4E67-8B0C-48DACF043992}">
      <text>
        <r>
          <rPr>
            <b/>
            <sz val="9"/>
            <color indexed="81"/>
            <rFont val="Segoe UI"/>
            <family val="2"/>
          </rPr>
          <t>Gessiany Lima de Freitas:</t>
        </r>
        <r>
          <rPr>
            <sz val="9"/>
            <color indexed="81"/>
            <rFont val="Segoe UI"/>
            <family val="2"/>
          </rPr>
          <t xml:space="preserve">
2019 A 2023 = 5 ANOS</t>
        </r>
      </text>
    </comment>
    <comment ref="E2" authorId="0" shapeId="0" xr:uid="{7796D331-917B-414C-B8A2-4F494713DCCC}">
      <text>
        <r>
          <rPr>
            <b/>
            <sz val="9"/>
            <color indexed="81"/>
            <rFont val="Segoe UI"/>
            <family val="2"/>
          </rPr>
          <t xml:space="preserve">Gessiany Lima de Freitas:
</t>
        </r>
        <r>
          <rPr>
            <sz val="9"/>
            <color indexed="81"/>
            <rFont val="Segoe UI"/>
            <family val="2"/>
          </rPr>
          <t xml:space="preserve">
Variável Dummy: 1 (setor mais poluente); 0 (setor menos poluente)</t>
        </r>
      </text>
    </comment>
    <comment ref="F2" authorId="0" shapeId="0" xr:uid="{D5351870-20C3-40B0-ABFB-305A946C1944}">
      <text>
        <r>
          <rPr>
            <b/>
            <sz val="9"/>
            <color indexed="81"/>
            <rFont val="Segoe UI"/>
            <family val="2"/>
          </rPr>
          <t>Gessiany Lima de Freitas:</t>
        </r>
        <r>
          <rPr>
            <sz val="9"/>
            <color indexed="81"/>
            <rFont val="Segoe UI"/>
            <family val="2"/>
          </rPr>
          <t xml:space="preserve">
Volume total de empréstimos e financiamentos (curto + longo prazo)</t>
        </r>
      </text>
    </comment>
    <comment ref="G2" authorId="0" shapeId="0" xr:uid="{B31252B5-A59B-4103-8078-D6252282EAC2}">
      <text>
        <r>
          <rPr>
            <b/>
            <sz val="9"/>
            <color indexed="81"/>
            <rFont val="Segoe UI"/>
            <family val="2"/>
          </rPr>
          <t>Gessiany Lima de Freitas:</t>
        </r>
        <r>
          <rPr>
            <sz val="9"/>
            <color indexed="81"/>
            <rFont val="Segoe UI"/>
            <family val="2"/>
          </rPr>
          <t xml:space="preserve">
Montante que a empresa pagou efetivamente de juros no ano</t>
        </r>
      </text>
    </comment>
    <comment ref="H2" authorId="0" shapeId="0" xr:uid="{9386128F-9103-4A84-A0FB-9545D6283588}">
      <text>
        <r>
          <rPr>
            <b/>
            <sz val="9"/>
            <color indexed="81"/>
            <rFont val="Segoe UI"/>
            <family val="2"/>
          </rPr>
          <t>Gessiany Lima de Freitas:</t>
        </r>
        <r>
          <rPr>
            <sz val="9"/>
            <color indexed="81"/>
            <rFont val="Segoe UI"/>
            <family val="2"/>
          </rPr>
          <t xml:space="preserve">
Variável de controle: tamanho da firma</t>
        </r>
      </text>
    </comment>
    <comment ref="I2" authorId="0" shapeId="0" xr:uid="{D342FCD8-3F7D-4DDC-A622-A0681FA2AC28}">
      <text>
        <r>
          <rPr>
            <b/>
            <sz val="9"/>
            <color indexed="81"/>
            <rFont val="Segoe UI"/>
            <family val="2"/>
          </rPr>
          <t>Gessiany Lima de Freitas:</t>
        </r>
        <r>
          <rPr>
            <sz val="9"/>
            <color indexed="81"/>
            <rFont val="Segoe UI"/>
            <family val="2"/>
          </rPr>
          <t xml:space="preserve">
Capital próprio dos acionistas</t>
        </r>
      </text>
    </comment>
    <comment ref="J2" authorId="0" shapeId="0" xr:uid="{3D4BE89D-9B17-4893-A2E9-97A1BD00CBC6}">
      <text>
        <r>
          <rPr>
            <b/>
            <sz val="9"/>
            <color indexed="81"/>
            <rFont val="Segoe UI"/>
            <family val="2"/>
          </rPr>
          <t>Gessiany Lima de Freitas:</t>
        </r>
        <r>
          <rPr>
            <sz val="9"/>
            <color indexed="81"/>
            <rFont val="Segoe UI"/>
            <family val="2"/>
          </rPr>
          <t xml:space="preserve">
Variável de controle</t>
        </r>
      </text>
    </comment>
    <comment ref="K2" authorId="0" shapeId="0" xr:uid="{8438F96A-7D9E-4A79-8075-7E16F1E0D0B4}">
      <text>
        <r>
          <rPr>
            <b/>
            <sz val="9"/>
            <color indexed="81"/>
            <rFont val="Segoe UI"/>
            <family val="2"/>
          </rPr>
          <t>Gessiany Lima de Freitas:</t>
        </r>
        <r>
          <rPr>
            <sz val="9"/>
            <color indexed="81"/>
            <rFont val="Segoe UI"/>
            <family val="2"/>
          </rPr>
          <t xml:space="preserve">
- Variável Moderadora (Governança)
- 1 se estava no índice ISE B3 no ano, 0 se não estava
</t>
        </r>
      </text>
    </comment>
    <comment ref="L2" authorId="0" shapeId="0" xr:uid="{DD255E66-863A-4EF0-A878-38AF94E9910A}">
      <text>
        <r>
          <rPr>
            <b/>
            <sz val="9"/>
            <color indexed="81"/>
            <rFont val="Segoe UI"/>
            <family val="2"/>
          </rPr>
          <t xml:space="preserve">Gessiany Lima de Freitas:
</t>
        </r>
        <r>
          <rPr>
            <sz val="9"/>
            <color indexed="81"/>
            <rFont val="Segoe UI"/>
            <family val="2"/>
          </rPr>
          <t xml:space="preserve">
Variável Explicativa Principal (Disclosure): 1 (se a empresa publicou um inventário de emissões de carbono auditado no ano); e 0 (se não publicou).</t>
        </r>
      </text>
    </comment>
  </commentList>
</comments>
</file>

<file path=xl/sharedStrings.xml><?xml version="1.0" encoding="utf-8"?>
<sst xmlns="http://schemas.openxmlformats.org/spreadsheetml/2006/main" count="218" uniqueCount="59">
  <si>
    <t xml:space="preserve">Ticker </t>
  </si>
  <si>
    <t>Ano</t>
  </si>
  <si>
    <t>Setor_Intensivo</t>
  </si>
  <si>
    <t>Custo_Dívida</t>
  </si>
  <si>
    <t>Disc_Carbono</t>
  </si>
  <si>
    <t>Gov_ISE</t>
  </si>
  <si>
    <t>Tam_Ativo</t>
  </si>
  <si>
    <t>Alavancagem</t>
  </si>
  <si>
    <t>ROA</t>
  </si>
  <si>
    <t xml:space="preserve">GRUPO_1: CARBONO-INTENSIVOS </t>
  </si>
  <si>
    <t>VALE3</t>
  </si>
  <si>
    <t>CSNA3</t>
  </si>
  <si>
    <t>USIM5</t>
  </si>
  <si>
    <t>GGBR4</t>
  </si>
  <si>
    <t>GOAU4</t>
  </si>
  <si>
    <t>Mineração e Siderurgia</t>
  </si>
  <si>
    <t>Petróleo e Combustíveis</t>
  </si>
  <si>
    <t>PETR4</t>
  </si>
  <si>
    <t>PRIO3</t>
  </si>
  <si>
    <t>RECV3</t>
  </si>
  <si>
    <t>UGPA3</t>
  </si>
  <si>
    <t>VBBR3</t>
  </si>
  <si>
    <t>Papel e Celulose</t>
  </si>
  <si>
    <t>SUZB3</t>
  </si>
  <si>
    <t>KLBN11</t>
  </si>
  <si>
    <t>Carnes e Proteínas</t>
  </si>
  <si>
    <t>JBSS3</t>
  </si>
  <si>
    <t>BRFS3</t>
  </si>
  <si>
    <t>MRFG3</t>
  </si>
  <si>
    <t>Energia Elétrica</t>
  </si>
  <si>
    <t>ELET3</t>
  </si>
  <si>
    <t>CMIG4</t>
  </si>
  <si>
    <t>CPLE6</t>
  </si>
  <si>
    <t>EGIE3</t>
  </si>
  <si>
    <t>TRPL4</t>
  </si>
  <si>
    <t>GRUPO_2: CONTROLE-MENOS POLUENTES</t>
  </si>
  <si>
    <t>Varejo e Outros</t>
  </si>
  <si>
    <t>WEGE3</t>
  </si>
  <si>
    <t>RADL3</t>
  </si>
  <si>
    <t>LREN3</t>
  </si>
  <si>
    <t>MGLU3</t>
  </si>
  <si>
    <t>NTCO3</t>
  </si>
  <si>
    <t>VIVO3</t>
  </si>
  <si>
    <t>TIMS3</t>
  </si>
  <si>
    <t>RENT3</t>
  </si>
  <si>
    <t>CCRO3</t>
  </si>
  <si>
    <t>MDIA3</t>
  </si>
  <si>
    <t>Contabilidade</t>
  </si>
  <si>
    <t xml:space="preserve">Qualidade </t>
  </si>
  <si>
    <t>Identificação</t>
  </si>
  <si>
    <t>Divida_Bruta (R$ mil)</t>
  </si>
  <si>
    <t>Ativo_Total (R$ mil)</t>
  </si>
  <si>
    <t>Patrimonio_Liquido (R$ mil)</t>
  </si>
  <si>
    <t>Lucro_Liquido (R$ mil)</t>
  </si>
  <si>
    <t>Despesa_Financeira (R$ mil)</t>
  </si>
  <si>
    <t>Varíável Y</t>
  </si>
  <si>
    <t>Var. de Controle 1</t>
  </si>
  <si>
    <t>Var. de Controle 3</t>
  </si>
  <si>
    <t>Var. de Controle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</si>
</sst>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1"/>
      <name val="Arial"/>
      <family val="2"/>
    </font>
    <font>
      <i/>
      <sz val="1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4" fillId="0" borderId="0" xfId="0" applyFont="1"/>
    <xf numFmtId="44" fontId="0" fillId="0" borderId="0" xfId="0" applyNumberFormat="1"/>
    <xf numFmtId="44" fontId="8" fillId="0" borderId="0" xfId="0" applyNumberFormat="1" applyFont="1"/>
    <xf numFmtId="44" fontId="0" fillId="0" borderId="1" xfId="0" applyNumberFormat="1" applyBorder="1"/>
    <xf numFmtId="44" fontId="8" fillId="0" borderId="1" xfId="0" applyNumberFormat="1" applyFont="1" applyBorder="1"/>
    <xf numFmtId="0" fontId="9" fillId="0" borderId="3" xfId="0" applyFont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2" borderId="5" xfId="0" applyFont="1" applyFill="1" applyBorder="1" applyAlignment="1">
      <alignment horizontal="center"/>
    </xf>
    <xf numFmtId="0" fontId="0" fillId="0" borderId="0" xfId="0" applyBorder="1"/>
    <xf numFmtId="0" fontId="10" fillId="0" borderId="0" xfId="0" applyFont="1" applyBorder="1"/>
    <xf numFmtId="44" fontId="0" fillId="0" borderId="0" xfId="0" applyNumberFormat="1" applyFill="1" applyBorder="1"/>
    <xf numFmtId="44" fontId="0" fillId="0" borderId="1" xfId="0" applyNumberFormat="1" applyFill="1" applyBorder="1"/>
    <xf numFmtId="4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228F-9D6F-4117-9EDD-EF63BD13BCE2}">
  <dimension ref="A1:P202"/>
  <sheetViews>
    <sheetView tabSelected="1" zoomScale="80" zoomScaleNormal="80" workbookViewId="0">
      <selection activeCell="H10" sqref="H10"/>
    </sheetView>
  </sheetViews>
  <sheetFormatPr defaultRowHeight="15" x14ac:dyDescent="0.25"/>
  <cols>
    <col min="1" max="1" width="11.42578125" customWidth="1"/>
    <col min="2" max="2" width="9.5703125" customWidth="1"/>
    <col min="3" max="3" width="12.7109375" style="28" bestFit="1" customWidth="1"/>
    <col min="4" max="4" width="5.5703125" bestFit="1" customWidth="1"/>
    <col min="5" max="5" width="14.42578125" customWidth="1"/>
    <col min="6" max="6" width="20.140625" bestFit="1" customWidth="1"/>
    <col min="7" max="7" width="27.140625" bestFit="1" customWidth="1"/>
    <col min="8" max="8" width="18.5703125" bestFit="1" customWidth="1"/>
    <col min="9" max="9" width="26.42578125" bestFit="1" customWidth="1"/>
    <col min="10" max="10" width="21.42578125" bestFit="1" customWidth="1"/>
    <col min="11" max="11" width="8.28515625" bestFit="1" customWidth="1"/>
    <col min="12" max="12" width="13.7109375" bestFit="1" customWidth="1"/>
    <col min="13" max="13" width="13.140625" customWidth="1"/>
    <col min="14" max="14" width="16.28515625" bestFit="1" customWidth="1"/>
    <col min="15" max="15" width="15.85546875" bestFit="1" customWidth="1"/>
    <col min="16" max="16" width="16.28515625" bestFit="1" customWidth="1"/>
  </cols>
  <sheetData>
    <row r="1" spans="1:16" s="9" customFormat="1" ht="13.5" x14ac:dyDescent="0.25">
      <c r="C1" s="25" t="s">
        <v>49</v>
      </c>
      <c r="D1" s="25"/>
      <c r="E1" s="25"/>
      <c r="F1" s="22" t="s">
        <v>47</v>
      </c>
      <c r="G1" s="22"/>
      <c r="H1" s="22"/>
      <c r="I1" s="22"/>
      <c r="J1" s="22"/>
      <c r="K1" s="22" t="s">
        <v>48</v>
      </c>
      <c r="L1" s="22"/>
      <c r="M1" s="14" t="s">
        <v>55</v>
      </c>
      <c r="N1" s="14" t="s">
        <v>56</v>
      </c>
      <c r="O1" s="14" t="s">
        <v>58</v>
      </c>
      <c r="P1" s="14" t="s">
        <v>57</v>
      </c>
    </row>
    <row r="2" spans="1:16" s="5" customFormat="1" x14ac:dyDescent="0.25">
      <c r="A2" s="23"/>
      <c r="B2" s="24"/>
      <c r="C2" s="26" t="s">
        <v>0</v>
      </c>
      <c r="D2" s="7" t="s">
        <v>1</v>
      </c>
      <c r="E2" s="7" t="s">
        <v>2</v>
      </c>
      <c r="F2" s="8" t="s">
        <v>50</v>
      </c>
      <c r="G2" s="8" t="s">
        <v>54</v>
      </c>
      <c r="H2" s="8" t="s">
        <v>51</v>
      </c>
      <c r="I2" s="8" t="s">
        <v>52</v>
      </c>
      <c r="J2" s="8" t="s">
        <v>53</v>
      </c>
      <c r="K2" s="29" t="s">
        <v>5</v>
      </c>
      <c r="L2" s="29" t="s">
        <v>4</v>
      </c>
      <c r="M2" s="15" t="s">
        <v>3</v>
      </c>
      <c r="N2" s="15" t="s">
        <v>8</v>
      </c>
      <c r="O2" s="15" t="s">
        <v>7</v>
      </c>
      <c r="P2" s="15" t="s">
        <v>6</v>
      </c>
    </row>
    <row r="3" spans="1:16" x14ac:dyDescent="0.25">
      <c r="A3" s="17" t="s">
        <v>9</v>
      </c>
      <c r="B3" s="16" t="s">
        <v>15</v>
      </c>
      <c r="C3" s="27" t="s">
        <v>10</v>
      </c>
      <c r="D3">
        <v>2019</v>
      </c>
      <c r="E3">
        <v>1</v>
      </c>
      <c r="F3" s="10">
        <f>5804801+54037929</f>
        <v>59842730</v>
      </c>
      <c r="G3" s="10">
        <v>-15536478</v>
      </c>
      <c r="H3" s="10">
        <v>369670.33</v>
      </c>
      <c r="I3" s="10">
        <v>157149353</v>
      </c>
      <c r="J3" s="10">
        <v>-8696040</v>
      </c>
      <c r="K3" s="30">
        <v>0</v>
      </c>
      <c r="L3" s="30">
        <v>1</v>
      </c>
      <c r="M3">
        <f>ABS(G3)/F3</f>
        <v>0.25962181203965795</v>
      </c>
      <c r="N3">
        <f>J3/H3</f>
        <v>-23.523770490317684</v>
      </c>
      <c r="O3">
        <f>F3/I3</f>
        <v>0.38080163142637946</v>
      </c>
      <c r="P3">
        <f>LN(H3)</f>
        <v>12.820366887443967</v>
      </c>
    </row>
    <row r="4" spans="1:16" x14ac:dyDescent="0.25">
      <c r="A4" s="17"/>
      <c r="B4" s="21"/>
      <c r="C4" s="27"/>
      <c r="D4">
        <v>2020</v>
      </c>
      <c r="E4">
        <v>1</v>
      </c>
      <c r="F4" s="10">
        <f>5901375+72187720</f>
        <v>78089095</v>
      </c>
      <c r="G4" s="10">
        <v>-26062458</v>
      </c>
      <c r="H4" s="11">
        <v>478129.52</v>
      </c>
      <c r="I4" s="10">
        <v>180985984</v>
      </c>
      <c r="J4" s="10">
        <v>24902341</v>
      </c>
      <c r="K4" s="30">
        <v>0</v>
      </c>
      <c r="L4" s="30">
        <v>1</v>
      </c>
      <c r="M4">
        <f t="shared" ref="M4:M6" si="0">ABS(G4)/F4</f>
        <v>0.33375284986975456</v>
      </c>
      <c r="N4">
        <f t="shared" ref="N4:N67" si="1">J4/H4</f>
        <v>52.082835211680717</v>
      </c>
      <c r="O4">
        <f t="shared" ref="O4:O67" si="2">F4/I4</f>
        <v>0.43146487520271182</v>
      </c>
      <c r="P4">
        <f t="shared" ref="P4:P67" si="3">LN(H4)</f>
        <v>13.077636937113024</v>
      </c>
    </row>
    <row r="5" spans="1:16" x14ac:dyDescent="0.25">
      <c r="A5" s="17"/>
      <c r="B5" s="21"/>
      <c r="C5" s="27"/>
      <c r="D5">
        <v>2021</v>
      </c>
      <c r="E5">
        <v>1</v>
      </c>
      <c r="F5" s="10">
        <f>6720000+70189000</f>
        <v>76909000</v>
      </c>
      <c r="G5" s="10">
        <v>15990000</v>
      </c>
      <c r="H5" s="11">
        <v>499128</v>
      </c>
      <c r="I5" s="10">
        <v>197058000</v>
      </c>
      <c r="J5" s="10">
        <v>121343000</v>
      </c>
      <c r="K5" s="30">
        <v>0</v>
      </c>
      <c r="L5" s="30">
        <v>1</v>
      </c>
      <c r="M5">
        <f t="shared" si="0"/>
        <v>0.20790804717263259</v>
      </c>
      <c r="N5">
        <f t="shared" si="1"/>
        <v>243.10998381176773</v>
      </c>
      <c r="O5">
        <f t="shared" si="2"/>
        <v>0.39028610865836455</v>
      </c>
      <c r="P5">
        <f t="shared" si="3"/>
        <v>13.120617854865866</v>
      </c>
    </row>
    <row r="6" spans="1:16" x14ac:dyDescent="0.25">
      <c r="A6" s="17"/>
      <c r="B6" s="21"/>
      <c r="C6" s="27"/>
      <c r="D6">
        <v>2022</v>
      </c>
      <c r="E6">
        <v>1</v>
      </c>
      <c r="F6" s="10">
        <f>2552000+63778000</f>
        <v>66330000</v>
      </c>
      <c r="G6" s="10">
        <v>8693000</v>
      </c>
      <c r="H6" s="11">
        <v>453387</v>
      </c>
      <c r="I6" s="10">
        <v>194894000</v>
      </c>
      <c r="J6" s="10">
        <v>96337000</v>
      </c>
      <c r="K6" s="30">
        <v>0</v>
      </c>
      <c r="L6" s="30">
        <v>1</v>
      </c>
      <c r="M6">
        <f t="shared" si="0"/>
        <v>0.13105683702698628</v>
      </c>
      <c r="N6">
        <f t="shared" si="1"/>
        <v>212.48293400560669</v>
      </c>
      <c r="O6">
        <f t="shared" si="2"/>
        <v>0.34033885086252014</v>
      </c>
      <c r="P6">
        <f t="shared" si="3"/>
        <v>13.024501344390428</v>
      </c>
    </row>
    <row r="7" spans="1:16" x14ac:dyDescent="0.25">
      <c r="A7" s="17"/>
      <c r="B7" s="21"/>
      <c r="C7" s="27"/>
      <c r="D7" s="1">
        <v>2023</v>
      </c>
      <c r="E7" s="1">
        <v>1</v>
      </c>
      <c r="F7" s="12">
        <f>4940000+62464000</f>
        <v>67404000</v>
      </c>
      <c r="G7" s="12">
        <v>-11877000</v>
      </c>
      <c r="H7" s="13">
        <v>455984</v>
      </c>
      <c r="I7" s="12">
        <v>198325000</v>
      </c>
      <c r="J7" s="12">
        <v>40554000</v>
      </c>
      <c r="K7" s="30">
        <v>0</v>
      </c>
      <c r="L7" s="30">
        <v>1</v>
      </c>
      <c r="M7">
        <f>ABS(G7)/F7</f>
        <v>0.1762061598718177</v>
      </c>
      <c r="N7">
        <f t="shared" si="1"/>
        <v>88.937331134425776</v>
      </c>
      <c r="O7">
        <f t="shared" si="2"/>
        <v>0.33986638094037563</v>
      </c>
      <c r="P7">
        <f t="shared" si="3"/>
        <v>13.030213000161636</v>
      </c>
    </row>
    <row r="8" spans="1:16" x14ac:dyDescent="0.25">
      <c r="A8" s="17"/>
      <c r="B8" s="21"/>
      <c r="C8" s="27" t="s">
        <v>11</v>
      </c>
      <c r="D8">
        <v>2019</v>
      </c>
      <c r="E8">
        <v>1</v>
      </c>
      <c r="F8" s="10">
        <f>5125843+22841193</f>
        <v>27967036</v>
      </c>
      <c r="G8" s="10">
        <v>-2510226</v>
      </c>
      <c r="H8" s="10">
        <v>50869276</v>
      </c>
      <c r="I8" s="10">
        <v>11361932</v>
      </c>
      <c r="J8" s="10">
        <v>2244511</v>
      </c>
      <c r="K8" s="30">
        <v>0</v>
      </c>
      <c r="L8" s="30">
        <v>1</v>
      </c>
      <c r="M8">
        <f>ABS(G8)/F8</f>
        <v>8.9756597731700999E-2</v>
      </c>
      <c r="N8">
        <f t="shared" si="1"/>
        <v>4.412311667262573E-2</v>
      </c>
      <c r="O8">
        <f t="shared" si="2"/>
        <v>2.4614683488688369</v>
      </c>
      <c r="P8">
        <f t="shared" si="3"/>
        <v>17.744769684340678</v>
      </c>
    </row>
    <row r="9" spans="1:16" x14ac:dyDescent="0.25">
      <c r="A9" s="17"/>
      <c r="B9" s="21"/>
      <c r="C9" s="27"/>
      <c r="D9">
        <v>2020</v>
      </c>
      <c r="E9">
        <v>1</v>
      </c>
      <c r="F9" s="10">
        <f>4126453+31144200</f>
        <v>35270653</v>
      </c>
      <c r="G9" s="10">
        <v>-2599039</v>
      </c>
      <c r="H9" s="10">
        <v>63002149</v>
      </c>
      <c r="I9" s="10">
        <v>11251505</v>
      </c>
      <c r="J9" s="10">
        <v>4292618</v>
      </c>
      <c r="K9" s="30">
        <v>0</v>
      </c>
      <c r="L9" s="30">
        <v>1</v>
      </c>
      <c r="M9">
        <f t="shared" ref="M9:M72" si="4">ABS(G9)/F9</f>
        <v>7.3688428734222752E-2</v>
      </c>
      <c r="N9">
        <f t="shared" si="1"/>
        <v>6.8134469508333753E-2</v>
      </c>
      <c r="O9">
        <f t="shared" si="2"/>
        <v>3.1347497956939985</v>
      </c>
      <c r="P9">
        <f t="shared" si="3"/>
        <v>17.958679394885149</v>
      </c>
    </row>
    <row r="10" spans="1:16" x14ac:dyDescent="0.25">
      <c r="A10" s="17"/>
      <c r="B10" s="21"/>
      <c r="C10" s="27"/>
      <c r="D10">
        <v>2021</v>
      </c>
      <c r="E10">
        <v>1</v>
      </c>
      <c r="F10" s="10">
        <f>5486859+27020663</f>
        <v>32507522</v>
      </c>
      <c r="G10" s="10">
        <v>-3111368</v>
      </c>
      <c r="H10" s="10">
        <v>79379103</v>
      </c>
      <c r="I10" s="10">
        <v>23374389</v>
      </c>
      <c r="J10" s="10">
        <v>13595621</v>
      </c>
      <c r="K10" s="30">
        <v>0</v>
      </c>
      <c r="L10" s="30">
        <v>1</v>
      </c>
      <c r="M10">
        <f t="shared" si="4"/>
        <v>9.5712247768378042E-2</v>
      </c>
      <c r="N10">
        <f t="shared" si="1"/>
        <v>0.17127456076191741</v>
      </c>
      <c r="O10">
        <f t="shared" si="2"/>
        <v>1.3907324807506198</v>
      </c>
      <c r="P10">
        <f t="shared" si="3"/>
        <v>18.18974570517976</v>
      </c>
    </row>
    <row r="11" spans="1:16" x14ac:dyDescent="0.25">
      <c r="A11" s="17"/>
      <c r="B11" s="21"/>
      <c r="C11" s="27"/>
      <c r="D11">
        <v>2022</v>
      </c>
      <c r="E11">
        <v>1</v>
      </c>
      <c r="F11" s="10">
        <f>5193636+35725106</f>
        <v>40918742</v>
      </c>
      <c r="G11" s="10">
        <v>-3436805</v>
      </c>
      <c r="H11" s="10">
        <v>85354359</v>
      </c>
      <c r="I11" s="10">
        <v>21816044</v>
      </c>
      <c r="J11" s="10">
        <v>2167698</v>
      </c>
      <c r="K11" s="30">
        <v>0</v>
      </c>
      <c r="L11" s="30">
        <v>1</v>
      </c>
      <c r="M11">
        <f t="shared" si="4"/>
        <v>8.3990974111569708E-2</v>
      </c>
      <c r="N11">
        <f t="shared" si="1"/>
        <v>2.5396453390271492E-2</v>
      </c>
      <c r="O11">
        <f t="shared" si="2"/>
        <v>1.8756261217661643</v>
      </c>
      <c r="P11">
        <f t="shared" si="3"/>
        <v>18.262322077956831</v>
      </c>
    </row>
    <row r="12" spans="1:16" x14ac:dyDescent="0.25">
      <c r="A12" s="17"/>
      <c r="B12" s="21"/>
      <c r="C12" s="27"/>
      <c r="D12" s="1">
        <v>2023</v>
      </c>
      <c r="E12" s="1">
        <v>1</v>
      </c>
      <c r="F12" s="12">
        <f>7613367+37245708</f>
        <v>44859075</v>
      </c>
      <c r="G12" s="12">
        <v>-5807129</v>
      </c>
      <c r="H12" s="12">
        <v>91529720</v>
      </c>
      <c r="I12" s="12">
        <v>19684838</v>
      </c>
      <c r="J12" s="12">
        <v>402649</v>
      </c>
      <c r="K12" s="30">
        <v>0</v>
      </c>
      <c r="L12" s="30">
        <v>1</v>
      </c>
      <c r="M12">
        <f t="shared" si="4"/>
        <v>0.12945271386001606</v>
      </c>
      <c r="N12">
        <f t="shared" si="1"/>
        <v>4.3991066508233612E-3</v>
      </c>
      <c r="O12">
        <f t="shared" si="2"/>
        <v>2.2788643218704672</v>
      </c>
      <c r="P12">
        <f t="shared" si="3"/>
        <v>18.33217428624998</v>
      </c>
    </row>
    <row r="13" spans="1:16" x14ac:dyDescent="0.25">
      <c r="A13" s="17"/>
      <c r="B13" s="21"/>
      <c r="C13" s="27" t="s">
        <v>12</v>
      </c>
      <c r="D13">
        <v>2019</v>
      </c>
      <c r="E13">
        <v>1</v>
      </c>
      <c r="F13" s="10">
        <f>121333+4984905</f>
        <v>5106238</v>
      </c>
      <c r="G13" s="32">
        <v>0</v>
      </c>
      <c r="H13" s="10">
        <v>26337032</v>
      </c>
      <c r="I13" s="10">
        <v>15565684</v>
      </c>
      <c r="J13" s="10">
        <v>376691</v>
      </c>
      <c r="K13" s="30">
        <v>0</v>
      </c>
      <c r="L13" s="30">
        <v>1</v>
      </c>
      <c r="M13">
        <f t="shared" si="4"/>
        <v>0</v>
      </c>
      <c r="N13">
        <f t="shared" si="1"/>
        <v>1.4302712621528501E-2</v>
      </c>
      <c r="O13">
        <f t="shared" si="2"/>
        <v>0.32804456264177018</v>
      </c>
      <c r="P13">
        <f t="shared" si="3"/>
        <v>17.08648656759641</v>
      </c>
    </row>
    <row r="14" spans="1:16" x14ac:dyDescent="0.25">
      <c r="A14" s="17"/>
      <c r="B14" s="21"/>
      <c r="C14" s="27"/>
      <c r="D14">
        <v>2020</v>
      </c>
      <c r="E14">
        <v>1</v>
      </c>
      <c r="F14" s="10">
        <f>135952+5832410</f>
        <v>5968362</v>
      </c>
      <c r="G14" s="32">
        <v>0</v>
      </c>
      <c r="H14" s="10">
        <v>29952137</v>
      </c>
      <c r="I14" s="10">
        <v>16838170</v>
      </c>
      <c r="J14" s="10">
        <v>1291743</v>
      </c>
      <c r="K14" s="30">
        <v>0</v>
      </c>
      <c r="L14" s="30">
        <v>1</v>
      </c>
      <c r="M14">
        <f t="shared" si="4"/>
        <v>0</v>
      </c>
      <c r="N14">
        <f t="shared" si="1"/>
        <v>4.3126906103561159E-2</v>
      </c>
      <c r="O14">
        <f t="shared" si="2"/>
        <v>0.35445431421585599</v>
      </c>
      <c r="P14">
        <f t="shared" si="3"/>
        <v>17.215111232234037</v>
      </c>
    </row>
    <row r="15" spans="1:16" x14ac:dyDescent="0.25">
      <c r="A15" s="17"/>
      <c r="B15" s="21"/>
      <c r="C15" s="27"/>
      <c r="D15">
        <v>2021</v>
      </c>
      <c r="E15">
        <v>1</v>
      </c>
      <c r="F15" s="10">
        <f>171826+6127751</f>
        <v>6299577</v>
      </c>
      <c r="G15" s="32">
        <v>0</v>
      </c>
      <c r="H15" s="10">
        <v>39481569</v>
      </c>
      <c r="I15" s="10">
        <v>24358503</v>
      </c>
      <c r="J15" s="10">
        <v>10059954</v>
      </c>
      <c r="K15" s="30">
        <v>0</v>
      </c>
      <c r="L15" s="30">
        <v>1</v>
      </c>
      <c r="M15">
        <f t="shared" si="4"/>
        <v>0</v>
      </c>
      <c r="N15">
        <f t="shared" si="1"/>
        <v>0.25480127195552943</v>
      </c>
      <c r="O15">
        <f t="shared" si="2"/>
        <v>0.25861921810219618</v>
      </c>
      <c r="P15">
        <f t="shared" si="3"/>
        <v>17.491344513381215</v>
      </c>
    </row>
    <row r="16" spans="1:16" x14ac:dyDescent="0.25">
      <c r="A16" s="17"/>
      <c r="B16" s="21"/>
      <c r="C16" s="27"/>
      <c r="D16">
        <v>2022</v>
      </c>
      <c r="E16">
        <v>1</v>
      </c>
      <c r="F16" s="10">
        <f>130975+6066582</f>
        <v>6197557</v>
      </c>
      <c r="G16" s="32">
        <v>0</v>
      </c>
      <c r="H16" s="10">
        <v>40000451</v>
      </c>
      <c r="I16" s="10">
        <v>25887750</v>
      </c>
      <c r="J16" s="10">
        <v>2092889</v>
      </c>
      <c r="K16" s="30">
        <v>0</v>
      </c>
      <c r="L16" s="30">
        <v>1</v>
      </c>
      <c r="M16">
        <f t="shared" si="4"/>
        <v>0</v>
      </c>
      <c r="N16">
        <f t="shared" si="1"/>
        <v>5.2321635073564549E-2</v>
      </c>
      <c r="O16">
        <f t="shared" si="2"/>
        <v>0.23940114532935461</v>
      </c>
      <c r="P16">
        <f t="shared" si="3"/>
        <v>17.504401287014648</v>
      </c>
    </row>
    <row r="17" spans="1:16" x14ac:dyDescent="0.25">
      <c r="A17" s="17"/>
      <c r="B17" s="21"/>
      <c r="C17" s="27"/>
      <c r="D17" s="1">
        <v>2023</v>
      </c>
      <c r="E17" s="1">
        <v>1</v>
      </c>
      <c r="F17" s="12">
        <f>122887+5793223</f>
        <v>5916110</v>
      </c>
      <c r="G17" s="33">
        <v>0</v>
      </c>
      <c r="H17" s="12">
        <v>40161751</v>
      </c>
      <c r="I17" s="12">
        <v>26549437</v>
      </c>
      <c r="J17" s="12">
        <v>1640368</v>
      </c>
      <c r="K17" s="30">
        <v>1</v>
      </c>
      <c r="L17" s="30">
        <v>1</v>
      </c>
      <c r="M17">
        <f t="shared" si="4"/>
        <v>0</v>
      </c>
      <c r="N17">
        <f t="shared" si="1"/>
        <v>4.0844035908693323E-2</v>
      </c>
      <c r="O17">
        <f t="shared" si="2"/>
        <v>0.22283372713327218</v>
      </c>
      <c r="P17">
        <f t="shared" si="3"/>
        <v>17.508425632994879</v>
      </c>
    </row>
    <row r="18" spans="1:16" x14ac:dyDescent="0.25">
      <c r="A18" s="17"/>
      <c r="B18" s="21"/>
      <c r="C18" s="27" t="s">
        <v>13</v>
      </c>
      <c r="D18">
        <v>2019</v>
      </c>
      <c r="E18">
        <v>1</v>
      </c>
      <c r="F18" s="10">
        <f>1562226+14487641</f>
        <v>16049867</v>
      </c>
      <c r="G18" s="10">
        <v>-1732427</v>
      </c>
      <c r="H18" s="10">
        <v>54002970</v>
      </c>
      <c r="I18" s="10">
        <v>27173127</v>
      </c>
      <c r="J18" s="10">
        <v>1216887</v>
      </c>
      <c r="K18" s="30">
        <v>0</v>
      </c>
      <c r="L18" s="30">
        <v>1</v>
      </c>
      <c r="M18">
        <f t="shared" si="4"/>
        <v>0.10794027140536429</v>
      </c>
      <c r="N18">
        <f>I18/H18</f>
        <v>0.50317838074461463</v>
      </c>
      <c r="O18">
        <f t="shared" si="2"/>
        <v>0.59065219104153899</v>
      </c>
      <c r="P18">
        <f t="shared" si="3"/>
        <v>17.804549603016103</v>
      </c>
    </row>
    <row r="19" spans="1:16" x14ac:dyDescent="0.25">
      <c r="A19" s="17"/>
      <c r="B19" s="21"/>
      <c r="C19" s="27"/>
      <c r="D19">
        <v>2020</v>
      </c>
      <c r="E19">
        <v>1</v>
      </c>
      <c r="F19" s="10">
        <f>1431506+16083845</f>
        <v>17515351</v>
      </c>
      <c r="G19" s="10">
        <v>-1892799</v>
      </c>
      <c r="H19" s="10">
        <v>63123009</v>
      </c>
      <c r="I19" s="10">
        <v>31085210</v>
      </c>
      <c r="J19" s="10">
        <v>2388054</v>
      </c>
      <c r="K19" s="30">
        <v>0</v>
      </c>
      <c r="L19" s="30">
        <v>1</v>
      </c>
      <c r="M19">
        <f t="shared" si="4"/>
        <v>0.10806514810922145</v>
      </c>
      <c r="N19">
        <f>I19/H19</f>
        <v>0.49245450260458906</v>
      </c>
      <c r="O19">
        <f t="shared" si="2"/>
        <v>0.56346252767795357</v>
      </c>
      <c r="P19">
        <f t="shared" si="3"/>
        <v>17.960595904468324</v>
      </c>
    </row>
    <row r="20" spans="1:16" x14ac:dyDescent="0.25">
      <c r="A20" s="17"/>
      <c r="B20" s="21"/>
      <c r="C20" s="27"/>
      <c r="D20">
        <v>2021</v>
      </c>
      <c r="E20">
        <v>1</v>
      </c>
      <c r="F20" s="10">
        <f>1766493+12273200</f>
        <v>14039693</v>
      </c>
      <c r="G20" s="10">
        <v>-1806147</v>
      </c>
      <c r="H20" s="10">
        <v>73814613</v>
      </c>
      <c r="I20" s="10">
        <v>42815649</v>
      </c>
      <c r="J20" s="10">
        <v>15558938</v>
      </c>
      <c r="K20" s="30">
        <v>0</v>
      </c>
      <c r="L20" s="30">
        <v>1</v>
      </c>
      <c r="M20">
        <f t="shared" si="4"/>
        <v>0.12864576169863542</v>
      </c>
      <c r="N20">
        <f>I20/H20</f>
        <v>0.58004299230018319</v>
      </c>
      <c r="O20">
        <f t="shared" si="2"/>
        <v>0.3279103161556654</v>
      </c>
      <c r="P20">
        <f t="shared" si="3"/>
        <v>18.117067278099761</v>
      </c>
    </row>
    <row r="21" spans="1:16" x14ac:dyDescent="0.25">
      <c r="A21" s="17"/>
      <c r="B21" s="21"/>
      <c r="C21" s="27"/>
      <c r="D21">
        <v>2022</v>
      </c>
      <c r="E21">
        <v>1</v>
      </c>
      <c r="F21" s="10">
        <f>3121148+9486242</f>
        <v>12607390</v>
      </c>
      <c r="G21" s="10">
        <v>-2537867</v>
      </c>
      <c r="H21" s="10">
        <v>73798652</v>
      </c>
      <c r="I21" s="10">
        <v>46298193</v>
      </c>
      <c r="J21" s="10">
        <v>11479552</v>
      </c>
      <c r="K21" s="30">
        <v>0</v>
      </c>
      <c r="L21" s="30">
        <v>1</v>
      </c>
      <c r="M21">
        <f t="shared" si="4"/>
        <v>0.20129995185363506</v>
      </c>
      <c r="N21">
        <f>I21/H21</f>
        <v>0.62735824768181403</v>
      </c>
      <c r="O21">
        <f t="shared" si="2"/>
        <v>0.27230846784884238</v>
      </c>
      <c r="P21">
        <f t="shared" si="3"/>
        <v>18.116851023821226</v>
      </c>
    </row>
    <row r="22" spans="1:16" x14ac:dyDescent="0.25">
      <c r="A22" s="17"/>
      <c r="B22" s="21"/>
      <c r="C22" s="27"/>
      <c r="D22" s="1">
        <v>2023</v>
      </c>
      <c r="E22" s="1">
        <v>1</v>
      </c>
      <c r="F22" s="12">
        <f>1797622+9095686</f>
        <v>10893308</v>
      </c>
      <c r="G22" s="12">
        <v>-2262143</v>
      </c>
      <c r="H22" s="12">
        <v>74885144</v>
      </c>
      <c r="I22" s="12">
        <v>49238863</v>
      </c>
      <c r="J22" s="10">
        <v>7536983</v>
      </c>
      <c r="K22" s="30">
        <v>0</v>
      </c>
      <c r="L22" s="30">
        <v>1</v>
      </c>
      <c r="M22">
        <f t="shared" si="4"/>
        <v>0.20766354903395737</v>
      </c>
      <c r="N22">
        <f>I22/H22</f>
        <v>0.65752511606307384</v>
      </c>
      <c r="O22">
        <f t="shared" si="2"/>
        <v>0.22123394685210337</v>
      </c>
      <c r="P22">
        <f t="shared" si="3"/>
        <v>18.131466084355306</v>
      </c>
    </row>
    <row r="23" spans="1:16" x14ac:dyDescent="0.25">
      <c r="A23" s="17"/>
      <c r="B23" s="21"/>
      <c r="C23" s="27" t="s">
        <v>14</v>
      </c>
      <c r="D23">
        <v>2019</v>
      </c>
      <c r="E23">
        <v>1</v>
      </c>
      <c r="F23" s="10"/>
      <c r="G23" s="10">
        <v>-1746822</v>
      </c>
      <c r="H23" s="10"/>
      <c r="I23" s="10"/>
      <c r="J23" s="10">
        <v>1196725</v>
      </c>
      <c r="K23" s="30">
        <v>0</v>
      </c>
      <c r="L23" s="30">
        <v>1</v>
      </c>
      <c r="M23" t="e">
        <f t="shared" si="4"/>
        <v>#DIV/0!</v>
      </c>
      <c r="N23" t="e">
        <f t="shared" si="1"/>
        <v>#DIV/0!</v>
      </c>
      <c r="O23" t="e">
        <f t="shared" si="2"/>
        <v>#DIV/0!</v>
      </c>
      <c r="P23" t="e">
        <f t="shared" si="3"/>
        <v>#NUM!</v>
      </c>
    </row>
    <row r="24" spans="1:16" x14ac:dyDescent="0.25">
      <c r="A24" s="17"/>
      <c r="B24" s="21"/>
      <c r="C24" s="27"/>
      <c r="D24">
        <v>2020</v>
      </c>
      <c r="E24">
        <v>1</v>
      </c>
      <c r="F24" s="10"/>
      <c r="G24" s="10">
        <v>-1893123</v>
      </c>
      <c r="H24" s="10"/>
      <c r="I24" s="10"/>
      <c r="J24" s="10">
        <v>2383590</v>
      </c>
      <c r="K24" s="30">
        <v>0</v>
      </c>
      <c r="L24" s="30">
        <v>1</v>
      </c>
      <c r="M24" t="e">
        <f t="shared" si="4"/>
        <v>#DIV/0!</v>
      </c>
      <c r="N24" t="e">
        <f t="shared" si="1"/>
        <v>#DIV/0!</v>
      </c>
      <c r="O24" t="e">
        <f t="shared" si="2"/>
        <v>#DIV/0!</v>
      </c>
      <c r="P24" t="e">
        <f t="shared" si="3"/>
        <v>#NUM!</v>
      </c>
    </row>
    <row r="25" spans="1:16" x14ac:dyDescent="0.25">
      <c r="A25" s="17"/>
      <c r="B25" s="21"/>
      <c r="C25" s="27"/>
      <c r="D25">
        <v>2021</v>
      </c>
      <c r="E25">
        <v>1</v>
      </c>
      <c r="F25" s="10"/>
      <c r="G25" s="10"/>
      <c r="H25" s="10"/>
      <c r="I25" s="10"/>
      <c r="J25" s="10"/>
      <c r="K25" s="30">
        <v>0</v>
      </c>
      <c r="L25" s="30">
        <v>1</v>
      </c>
      <c r="M25" t="e">
        <f t="shared" si="4"/>
        <v>#DIV/0!</v>
      </c>
      <c r="N25" t="e">
        <f t="shared" si="1"/>
        <v>#DIV/0!</v>
      </c>
      <c r="O25" t="e">
        <f t="shared" si="2"/>
        <v>#DIV/0!</v>
      </c>
      <c r="P25" t="e">
        <f t="shared" si="3"/>
        <v>#NUM!</v>
      </c>
    </row>
    <row r="26" spans="1:16" x14ac:dyDescent="0.25">
      <c r="A26" s="17"/>
      <c r="B26" s="21"/>
      <c r="C26" s="27"/>
      <c r="D26">
        <v>2022</v>
      </c>
      <c r="E26">
        <v>1</v>
      </c>
      <c r="F26" s="10"/>
      <c r="G26" s="10"/>
      <c r="H26" s="10"/>
      <c r="I26" s="10"/>
      <c r="J26" s="10"/>
      <c r="K26" s="30">
        <v>0</v>
      </c>
      <c r="L26" s="30">
        <v>1</v>
      </c>
      <c r="M26" t="e">
        <f t="shared" si="4"/>
        <v>#DIV/0!</v>
      </c>
      <c r="N26" t="e">
        <f t="shared" si="1"/>
        <v>#DIV/0!</v>
      </c>
      <c r="O26" t="e">
        <f t="shared" si="2"/>
        <v>#DIV/0!</v>
      </c>
      <c r="P26" t="e">
        <f t="shared" si="3"/>
        <v>#NUM!</v>
      </c>
    </row>
    <row r="27" spans="1:16" x14ac:dyDescent="0.25">
      <c r="A27" s="17"/>
      <c r="B27" s="21"/>
      <c r="C27" s="27"/>
      <c r="D27" s="1">
        <v>2023</v>
      </c>
      <c r="E27" s="1">
        <v>1</v>
      </c>
      <c r="F27" s="12"/>
      <c r="G27" s="12"/>
      <c r="H27" s="12"/>
      <c r="I27" s="12"/>
      <c r="J27" s="12"/>
      <c r="K27" s="30">
        <v>0</v>
      </c>
      <c r="L27" s="30">
        <v>1</v>
      </c>
      <c r="M27" t="e">
        <f t="shared" si="4"/>
        <v>#DIV/0!</v>
      </c>
      <c r="N27" t="e">
        <f t="shared" si="1"/>
        <v>#DIV/0!</v>
      </c>
      <c r="O27" t="e">
        <f t="shared" si="2"/>
        <v>#DIV/0!</v>
      </c>
      <c r="P27" t="e">
        <f t="shared" si="3"/>
        <v>#NUM!</v>
      </c>
    </row>
    <row r="28" spans="1:16" x14ac:dyDescent="0.25">
      <c r="A28" s="17"/>
      <c r="B28" s="16" t="s">
        <v>16</v>
      </c>
      <c r="C28" s="27" t="s">
        <v>17</v>
      </c>
      <c r="D28" s="2">
        <v>2019</v>
      </c>
      <c r="E28" s="2">
        <v>1</v>
      </c>
      <c r="F28" s="34"/>
      <c r="G28" s="34"/>
      <c r="H28" s="34"/>
      <c r="I28" s="34"/>
      <c r="J28" s="34"/>
      <c r="K28" s="30">
        <v>0</v>
      </c>
      <c r="L28" s="30">
        <v>1</v>
      </c>
      <c r="M28" t="e">
        <f t="shared" si="4"/>
        <v>#DIV/0!</v>
      </c>
      <c r="N28" t="e">
        <f t="shared" si="1"/>
        <v>#DIV/0!</v>
      </c>
      <c r="O28" t="e">
        <f t="shared" si="2"/>
        <v>#DIV/0!</v>
      </c>
      <c r="P28" t="e">
        <f t="shared" si="3"/>
        <v>#NUM!</v>
      </c>
    </row>
    <row r="29" spans="1:16" x14ac:dyDescent="0.25">
      <c r="A29" s="17"/>
      <c r="B29" s="21"/>
      <c r="C29" s="27"/>
      <c r="D29">
        <v>2020</v>
      </c>
      <c r="E29">
        <v>1</v>
      </c>
      <c r="F29" s="10"/>
      <c r="G29" s="10"/>
      <c r="H29" s="10"/>
      <c r="I29" s="10"/>
      <c r="J29" s="10"/>
      <c r="K29" s="30">
        <v>0</v>
      </c>
      <c r="L29" s="30">
        <v>1</v>
      </c>
      <c r="M29" t="e">
        <f t="shared" si="4"/>
        <v>#DIV/0!</v>
      </c>
      <c r="N29" t="e">
        <f t="shared" si="1"/>
        <v>#DIV/0!</v>
      </c>
      <c r="O29" t="e">
        <f t="shared" si="2"/>
        <v>#DIV/0!</v>
      </c>
      <c r="P29" t="e">
        <f t="shared" si="3"/>
        <v>#NUM!</v>
      </c>
    </row>
    <row r="30" spans="1:16" x14ac:dyDescent="0.25">
      <c r="A30" s="17"/>
      <c r="B30" s="21"/>
      <c r="C30" s="27"/>
      <c r="D30">
        <v>2021</v>
      </c>
      <c r="E30">
        <v>1</v>
      </c>
      <c r="F30" s="10"/>
      <c r="G30" s="10"/>
      <c r="H30" s="10"/>
      <c r="I30" s="10"/>
      <c r="J30" s="10"/>
      <c r="K30" s="30">
        <v>0</v>
      </c>
      <c r="L30" s="30">
        <v>1</v>
      </c>
      <c r="M30" t="e">
        <f t="shared" si="4"/>
        <v>#DIV/0!</v>
      </c>
      <c r="N30" t="e">
        <f t="shared" si="1"/>
        <v>#DIV/0!</v>
      </c>
      <c r="O30" t="e">
        <f t="shared" si="2"/>
        <v>#DIV/0!</v>
      </c>
      <c r="P30" t="e">
        <f t="shared" si="3"/>
        <v>#NUM!</v>
      </c>
    </row>
    <row r="31" spans="1:16" x14ac:dyDescent="0.25">
      <c r="A31" s="17"/>
      <c r="B31" s="21"/>
      <c r="C31" s="27"/>
      <c r="D31">
        <v>2022</v>
      </c>
      <c r="E31">
        <v>1</v>
      </c>
      <c r="F31" s="10"/>
      <c r="G31" s="10"/>
      <c r="H31" s="10"/>
      <c r="I31" s="10"/>
      <c r="J31" s="10"/>
      <c r="K31" s="30">
        <v>0</v>
      </c>
      <c r="L31" s="30">
        <v>1</v>
      </c>
      <c r="M31" t="e">
        <f t="shared" si="4"/>
        <v>#DIV/0!</v>
      </c>
      <c r="N31" t="e">
        <f t="shared" si="1"/>
        <v>#DIV/0!</v>
      </c>
      <c r="O31" t="e">
        <f t="shared" si="2"/>
        <v>#DIV/0!</v>
      </c>
      <c r="P31" t="e">
        <f t="shared" si="3"/>
        <v>#NUM!</v>
      </c>
    </row>
    <row r="32" spans="1:16" x14ac:dyDescent="0.25">
      <c r="A32" s="17"/>
      <c r="B32" s="21"/>
      <c r="C32" s="27"/>
      <c r="D32" s="1">
        <v>2023</v>
      </c>
      <c r="E32" s="1">
        <v>1</v>
      </c>
      <c r="F32" s="12"/>
      <c r="G32" s="12"/>
      <c r="H32" s="12"/>
      <c r="I32" s="12"/>
      <c r="J32" s="12"/>
      <c r="K32" s="30">
        <v>0</v>
      </c>
      <c r="L32" s="30">
        <v>1</v>
      </c>
      <c r="M32" t="e">
        <f t="shared" si="4"/>
        <v>#DIV/0!</v>
      </c>
      <c r="N32" t="e">
        <f t="shared" si="1"/>
        <v>#DIV/0!</v>
      </c>
      <c r="O32" t="e">
        <f t="shared" si="2"/>
        <v>#DIV/0!</v>
      </c>
      <c r="P32" t="e">
        <f t="shared" si="3"/>
        <v>#NUM!</v>
      </c>
    </row>
    <row r="33" spans="1:16" x14ac:dyDescent="0.25">
      <c r="A33" s="17"/>
      <c r="B33" s="21"/>
      <c r="C33" s="27" t="s">
        <v>18</v>
      </c>
      <c r="D33">
        <v>2019</v>
      </c>
      <c r="E33">
        <v>1</v>
      </c>
      <c r="F33" s="10"/>
      <c r="G33" s="10"/>
      <c r="H33" s="10"/>
      <c r="I33" s="10"/>
      <c r="J33" s="10"/>
      <c r="K33" s="30">
        <v>0</v>
      </c>
      <c r="L33" s="30">
        <v>0</v>
      </c>
      <c r="M33" t="e">
        <f t="shared" si="4"/>
        <v>#DIV/0!</v>
      </c>
      <c r="N33" t="e">
        <f t="shared" si="1"/>
        <v>#DIV/0!</v>
      </c>
      <c r="O33" t="e">
        <f t="shared" si="2"/>
        <v>#DIV/0!</v>
      </c>
      <c r="P33" t="e">
        <f t="shared" si="3"/>
        <v>#NUM!</v>
      </c>
    </row>
    <row r="34" spans="1:16" x14ac:dyDescent="0.25">
      <c r="A34" s="17"/>
      <c r="B34" s="21"/>
      <c r="C34" s="27"/>
      <c r="D34">
        <v>2020</v>
      </c>
      <c r="E34">
        <v>1</v>
      </c>
      <c r="F34" s="10"/>
      <c r="G34" s="10"/>
      <c r="H34" s="10"/>
      <c r="I34" s="10"/>
      <c r="J34" s="10"/>
      <c r="K34" s="30">
        <v>0</v>
      </c>
      <c r="L34" s="30">
        <v>0</v>
      </c>
      <c r="M34" t="e">
        <f t="shared" si="4"/>
        <v>#DIV/0!</v>
      </c>
      <c r="N34" t="e">
        <f t="shared" si="1"/>
        <v>#DIV/0!</v>
      </c>
      <c r="O34" t="e">
        <f t="shared" si="2"/>
        <v>#DIV/0!</v>
      </c>
      <c r="P34" t="e">
        <f t="shared" si="3"/>
        <v>#NUM!</v>
      </c>
    </row>
    <row r="35" spans="1:16" x14ac:dyDescent="0.25">
      <c r="A35" s="17"/>
      <c r="B35" s="21"/>
      <c r="C35" s="27"/>
      <c r="D35">
        <v>2021</v>
      </c>
      <c r="E35">
        <v>1</v>
      </c>
      <c r="F35" s="10"/>
      <c r="G35" s="10"/>
      <c r="H35" s="10"/>
      <c r="I35" s="10"/>
      <c r="J35" s="10"/>
      <c r="K35" s="30">
        <v>0</v>
      </c>
      <c r="L35" s="30">
        <v>0</v>
      </c>
      <c r="M35" t="e">
        <f t="shared" si="4"/>
        <v>#DIV/0!</v>
      </c>
      <c r="N35" t="e">
        <f t="shared" si="1"/>
        <v>#DIV/0!</v>
      </c>
      <c r="O35" t="e">
        <f t="shared" si="2"/>
        <v>#DIV/0!</v>
      </c>
      <c r="P35" t="e">
        <f t="shared" si="3"/>
        <v>#NUM!</v>
      </c>
    </row>
    <row r="36" spans="1:16" x14ac:dyDescent="0.25">
      <c r="A36" s="17"/>
      <c r="B36" s="21"/>
      <c r="C36" s="27"/>
      <c r="D36">
        <v>2022</v>
      </c>
      <c r="E36">
        <v>1</v>
      </c>
      <c r="F36" s="10"/>
      <c r="G36" s="10"/>
      <c r="H36" s="10"/>
      <c r="I36" s="10"/>
      <c r="J36" s="10"/>
      <c r="K36" s="30">
        <v>0</v>
      </c>
      <c r="L36" s="31">
        <v>1</v>
      </c>
      <c r="M36" t="e">
        <f t="shared" si="4"/>
        <v>#DIV/0!</v>
      </c>
      <c r="N36" t="e">
        <f t="shared" si="1"/>
        <v>#DIV/0!</v>
      </c>
      <c r="O36" t="e">
        <f t="shared" si="2"/>
        <v>#DIV/0!</v>
      </c>
      <c r="P36" t="e">
        <f t="shared" si="3"/>
        <v>#NUM!</v>
      </c>
    </row>
    <row r="37" spans="1:16" x14ac:dyDescent="0.25">
      <c r="A37" s="17"/>
      <c r="B37" s="21"/>
      <c r="C37" s="27"/>
      <c r="D37" s="1">
        <v>2023</v>
      </c>
      <c r="E37" s="1">
        <v>1</v>
      </c>
      <c r="F37" s="12"/>
      <c r="G37" s="12"/>
      <c r="H37" s="12"/>
      <c r="I37" s="12"/>
      <c r="J37" s="12"/>
      <c r="K37" s="30">
        <v>0</v>
      </c>
      <c r="L37" s="31">
        <v>1</v>
      </c>
      <c r="M37" t="e">
        <f t="shared" si="4"/>
        <v>#DIV/0!</v>
      </c>
      <c r="N37" t="e">
        <f t="shared" si="1"/>
        <v>#DIV/0!</v>
      </c>
      <c r="O37" t="e">
        <f t="shared" si="2"/>
        <v>#DIV/0!</v>
      </c>
      <c r="P37" t="e">
        <f t="shared" si="3"/>
        <v>#NUM!</v>
      </c>
    </row>
    <row r="38" spans="1:16" x14ac:dyDescent="0.25">
      <c r="A38" s="17"/>
      <c r="B38" s="21"/>
      <c r="C38" s="27" t="s">
        <v>19</v>
      </c>
      <c r="D38">
        <v>2019</v>
      </c>
      <c r="E38">
        <v>1</v>
      </c>
      <c r="F38" s="10"/>
      <c r="G38" s="10"/>
      <c r="H38" s="10"/>
      <c r="I38" s="10"/>
      <c r="J38" s="10"/>
      <c r="K38" s="30">
        <v>0</v>
      </c>
      <c r="L38" s="30">
        <v>0</v>
      </c>
      <c r="M38" t="e">
        <f t="shared" si="4"/>
        <v>#DIV/0!</v>
      </c>
      <c r="N38" t="e">
        <f t="shared" si="1"/>
        <v>#DIV/0!</v>
      </c>
      <c r="O38" t="e">
        <f t="shared" si="2"/>
        <v>#DIV/0!</v>
      </c>
      <c r="P38" t="e">
        <f t="shared" si="3"/>
        <v>#NUM!</v>
      </c>
    </row>
    <row r="39" spans="1:16" x14ac:dyDescent="0.25">
      <c r="A39" s="17"/>
      <c r="B39" s="21"/>
      <c r="C39" s="27"/>
      <c r="D39">
        <v>2020</v>
      </c>
      <c r="E39">
        <v>1</v>
      </c>
      <c r="F39" s="10"/>
      <c r="G39" s="10"/>
      <c r="H39" s="10"/>
      <c r="I39" s="10"/>
      <c r="J39" s="10"/>
      <c r="K39" s="30">
        <v>0</v>
      </c>
      <c r="L39" s="30">
        <v>0</v>
      </c>
      <c r="M39" t="e">
        <f t="shared" si="4"/>
        <v>#DIV/0!</v>
      </c>
      <c r="N39" t="e">
        <f t="shared" si="1"/>
        <v>#DIV/0!</v>
      </c>
      <c r="O39" t="e">
        <f t="shared" si="2"/>
        <v>#DIV/0!</v>
      </c>
      <c r="P39" t="e">
        <f t="shared" si="3"/>
        <v>#NUM!</v>
      </c>
    </row>
    <row r="40" spans="1:16" x14ac:dyDescent="0.25">
      <c r="A40" s="17"/>
      <c r="B40" s="21"/>
      <c r="C40" s="27"/>
      <c r="D40">
        <v>2021</v>
      </c>
      <c r="E40">
        <v>1</v>
      </c>
      <c r="F40" s="10"/>
      <c r="G40" s="10"/>
      <c r="H40" s="10"/>
      <c r="I40" s="10"/>
      <c r="J40" s="10"/>
      <c r="K40" s="30">
        <v>0</v>
      </c>
      <c r="L40" s="30">
        <v>0</v>
      </c>
      <c r="M40" t="e">
        <f t="shared" si="4"/>
        <v>#DIV/0!</v>
      </c>
      <c r="N40" t="e">
        <f t="shared" si="1"/>
        <v>#DIV/0!</v>
      </c>
      <c r="O40" t="e">
        <f t="shared" si="2"/>
        <v>#DIV/0!</v>
      </c>
      <c r="P40" t="e">
        <f t="shared" si="3"/>
        <v>#NUM!</v>
      </c>
    </row>
    <row r="41" spans="1:16" x14ac:dyDescent="0.25">
      <c r="A41" s="17"/>
      <c r="B41" s="21"/>
      <c r="C41" s="27"/>
      <c r="D41">
        <v>2022</v>
      </c>
      <c r="E41">
        <v>1</v>
      </c>
      <c r="F41" s="10"/>
      <c r="G41" s="10"/>
      <c r="H41" s="10"/>
      <c r="I41" s="10"/>
      <c r="J41" s="10"/>
      <c r="K41" s="30">
        <v>0</v>
      </c>
      <c r="L41" s="31">
        <v>1</v>
      </c>
      <c r="M41" t="e">
        <f t="shared" si="4"/>
        <v>#DIV/0!</v>
      </c>
      <c r="N41" t="e">
        <f t="shared" si="1"/>
        <v>#DIV/0!</v>
      </c>
      <c r="O41" t="e">
        <f t="shared" si="2"/>
        <v>#DIV/0!</v>
      </c>
      <c r="P41" t="e">
        <f t="shared" si="3"/>
        <v>#NUM!</v>
      </c>
    </row>
    <row r="42" spans="1:16" x14ac:dyDescent="0.25">
      <c r="A42" s="17"/>
      <c r="B42" s="21"/>
      <c r="C42" s="27"/>
      <c r="D42" s="1">
        <v>2023</v>
      </c>
      <c r="E42" s="1">
        <v>1</v>
      </c>
      <c r="F42" s="12"/>
      <c r="G42" s="12"/>
      <c r="H42" s="12"/>
      <c r="I42" s="12"/>
      <c r="J42" s="12"/>
      <c r="K42" s="30">
        <v>0</v>
      </c>
      <c r="L42" s="31">
        <v>1</v>
      </c>
      <c r="M42" t="e">
        <f t="shared" si="4"/>
        <v>#DIV/0!</v>
      </c>
      <c r="N42" t="e">
        <f t="shared" si="1"/>
        <v>#DIV/0!</v>
      </c>
      <c r="O42" t="e">
        <f t="shared" si="2"/>
        <v>#DIV/0!</v>
      </c>
      <c r="P42" t="e">
        <f t="shared" si="3"/>
        <v>#NUM!</v>
      </c>
    </row>
    <row r="43" spans="1:16" x14ac:dyDescent="0.25">
      <c r="A43" s="17"/>
      <c r="B43" s="21"/>
      <c r="C43" s="27" t="s">
        <v>20</v>
      </c>
      <c r="D43">
        <v>2019</v>
      </c>
      <c r="E43">
        <v>1</v>
      </c>
      <c r="F43" s="10"/>
      <c r="G43" s="10"/>
      <c r="H43" s="10"/>
      <c r="I43" s="10"/>
      <c r="J43" s="10"/>
      <c r="K43" s="30">
        <v>0</v>
      </c>
      <c r="L43" s="31">
        <v>1</v>
      </c>
      <c r="M43" t="e">
        <f t="shared" si="4"/>
        <v>#DIV/0!</v>
      </c>
      <c r="N43" t="e">
        <f t="shared" si="1"/>
        <v>#DIV/0!</v>
      </c>
      <c r="O43" t="e">
        <f t="shared" si="2"/>
        <v>#DIV/0!</v>
      </c>
      <c r="P43" t="e">
        <f t="shared" si="3"/>
        <v>#NUM!</v>
      </c>
    </row>
    <row r="44" spans="1:16" x14ac:dyDescent="0.25">
      <c r="A44" s="17"/>
      <c r="B44" s="21"/>
      <c r="C44" s="27"/>
      <c r="D44">
        <v>2020</v>
      </c>
      <c r="E44">
        <v>1</v>
      </c>
      <c r="F44" s="10"/>
      <c r="G44" s="10"/>
      <c r="H44" s="10"/>
      <c r="I44" s="10"/>
      <c r="J44" s="10"/>
      <c r="K44" s="30">
        <v>0</v>
      </c>
      <c r="L44" s="31">
        <v>1</v>
      </c>
      <c r="M44" t="e">
        <f t="shared" si="4"/>
        <v>#DIV/0!</v>
      </c>
      <c r="N44" t="e">
        <f t="shared" si="1"/>
        <v>#DIV/0!</v>
      </c>
      <c r="O44" t="e">
        <f t="shared" si="2"/>
        <v>#DIV/0!</v>
      </c>
      <c r="P44" t="e">
        <f t="shared" si="3"/>
        <v>#NUM!</v>
      </c>
    </row>
    <row r="45" spans="1:16" x14ac:dyDescent="0.25">
      <c r="A45" s="17"/>
      <c r="B45" s="21"/>
      <c r="C45" s="27"/>
      <c r="D45">
        <v>2021</v>
      </c>
      <c r="E45">
        <v>1</v>
      </c>
      <c r="F45" s="10"/>
      <c r="G45" s="10"/>
      <c r="H45" s="10"/>
      <c r="I45" s="10"/>
      <c r="J45" s="10"/>
      <c r="K45" s="30">
        <v>0</v>
      </c>
      <c r="L45" s="31">
        <v>1</v>
      </c>
      <c r="M45" t="e">
        <f t="shared" si="4"/>
        <v>#DIV/0!</v>
      </c>
      <c r="N45" t="e">
        <f t="shared" si="1"/>
        <v>#DIV/0!</v>
      </c>
      <c r="O45" t="e">
        <f t="shared" si="2"/>
        <v>#DIV/0!</v>
      </c>
      <c r="P45" t="e">
        <f t="shared" si="3"/>
        <v>#NUM!</v>
      </c>
    </row>
    <row r="46" spans="1:16" x14ac:dyDescent="0.25">
      <c r="A46" s="17"/>
      <c r="B46" s="21"/>
      <c r="C46" s="27"/>
      <c r="D46">
        <v>2022</v>
      </c>
      <c r="E46">
        <v>1</v>
      </c>
      <c r="F46" s="10"/>
      <c r="G46" s="10"/>
      <c r="H46" s="10"/>
      <c r="I46" s="10"/>
      <c r="J46" s="10"/>
      <c r="K46" s="30">
        <v>1</v>
      </c>
      <c r="L46" s="31">
        <v>1</v>
      </c>
      <c r="M46" t="e">
        <f t="shared" si="4"/>
        <v>#DIV/0!</v>
      </c>
      <c r="N46" t="e">
        <f t="shared" si="1"/>
        <v>#DIV/0!</v>
      </c>
      <c r="O46" t="e">
        <f t="shared" si="2"/>
        <v>#DIV/0!</v>
      </c>
      <c r="P46" t="e">
        <f t="shared" si="3"/>
        <v>#NUM!</v>
      </c>
    </row>
    <row r="47" spans="1:16" x14ac:dyDescent="0.25">
      <c r="A47" s="17"/>
      <c r="B47" s="21"/>
      <c r="C47" s="27"/>
      <c r="D47" s="1">
        <v>2023</v>
      </c>
      <c r="E47" s="1">
        <v>1</v>
      </c>
      <c r="F47" s="12"/>
      <c r="G47" s="12"/>
      <c r="H47" s="12"/>
      <c r="I47" s="12"/>
      <c r="J47" s="12"/>
      <c r="K47" s="30">
        <v>1</v>
      </c>
      <c r="L47" s="31">
        <v>1</v>
      </c>
      <c r="M47" t="e">
        <f t="shared" si="4"/>
        <v>#DIV/0!</v>
      </c>
      <c r="N47" t="e">
        <f t="shared" si="1"/>
        <v>#DIV/0!</v>
      </c>
      <c r="O47" t="e">
        <f t="shared" si="2"/>
        <v>#DIV/0!</v>
      </c>
      <c r="P47" t="e">
        <f t="shared" si="3"/>
        <v>#NUM!</v>
      </c>
    </row>
    <row r="48" spans="1:16" x14ac:dyDescent="0.25">
      <c r="A48" s="17"/>
      <c r="B48" s="21"/>
      <c r="C48" s="27" t="s">
        <v>21</v>
      </c>
      <c r="D48">
        <v>2019</v>
      </c>
      <c r="E48">
        <v>1</v>
      </c>
      <c r="F48" s="10"/>
      <c r="G48" s="10"/>
      <c r="H48" s="10"/>
      <c r="I48" s="10"/>
      <c r="J48" s="10"/>
      <c r="K48" s="30">
        <v>0</v>
      </c>
      <c r="L48" s="31">
        <v>1</v>
      </c>
      <c r="M48" t="e">
        <f t="shared" si="4"/>
        <v>#DIV/0!</v>
      </c>
      <c r="N48" t="e">
        <f t="shared" si="1"/>
        <v>#DIV/0!</v>
      </c>
      <c r="O48" t="e">
        <f t="shared" si="2"/>
        <v>#DIV/0!</v>
      </c>
      <c r="P48" t="e">
        <f t="shared" si="3"/>
        <v>#NUM!</v>
      </c>
    </row>
    <row r="49" spans="1:16" x14ac:dyDescent="0.25">
      <c r="A49" s="17"/>
      <c r="B49" s="21"/>
      <c r="C49" s="27"/>
      <c r="D49">
        <v>2020</v>
      </c>
      <c r="E49">
        <v>1</v>
      </c>
      <c r="F49" s="10"/>
      <c r="G49" s="10"/>
      <c r="H49" s="10"/>
      <c r="I49" s="10"/>
      <c r="J49" s="10"/>
      <c r="K49" s="30">
        <v>0</v>
      </c>
      <c r="L49" s="31">
        <v>1</v>
      </c>
      <c r="M49" t="e">
        <f t="shared" si="4"/>
        <v>#DIV/0!</v>
      </c>
      <c r="N49" t="e">
        <f t="shared" si="1"/>
        <v>#DIV/0!</v>
      </c>
      <c r="O49" t="e">
        <f t="shared" si="2"/>
        <v>#DIV/0!</v>
      </c>
      <c r="P49" t="e">
        <f t="shared" si="3"/>
        <v>#NUM!</v>
      </c>
    </row>
    <row r="50" spans="1:16" x14ac:dyDescent="0.25">
      <c r="A50" s="17"/>
      <c r="B50" s="21"/>
      <c r="C50" s="27"/>
      <c r="D50">
        <v>2021</v>
      </c>
      <c r="E50">
        <v>1</v>
      </c>
      <c r="F50" s="10"/>
      <c r="G50" s="10"/>
      <c r="H50" s="10"/>
      <c r="I50" s="10"/>
      <c r="J50" s="10"/>
      <c r="K50" s="30">
        <v>0</v>
      </c>
      <c r="L50" s="31">
        <v>1</v>
      </c>
      <c r="M50" t="e">
        <f t="shared" si="4"/>
        <v>#DIV/0!</v>
      </c>
      <c r="N50" t="e">
        <f t="shared" si="1"/>
        <v>#DIV/0!</v>
      </c>
      <c r="O50" t="e">
        <f t="shared" si="2"/>
        <v>#DIV/0!</v>
      </c>
      <c r="P50" t="e">
        <f t="shared" si="3"/>
        <v>#NUM!</v>
      </c>
    </row>
    <row r="51" spans="1:16" x14ac:dyDescent="0.25">
      <c r="A51" s="17"/>
      <c r="B51" s="21"/>
      <c r="C51" s="27"/>
      <c r="D51">
        <v>2022</v>
      </c>
      <c r="E51">
        <v>1</v>
      </c>
      <c r="F51" s="10"/>
      <c r="G51" s="10"/>
      <c r="H51" s="10"/>
      <c r="I51" s="10"/>
      <c r="J51" s="10"/>
      <c r="K51" s="30">
        <v>0</v>
      </c>
      <c r="L51" s="31">
        <v>1</v>
      </c>
      <c r="M51" t="e">
        <f t="shared" si="4"/>
        <v>#DIV/0!</v>
      </c>
      <c r="N51" t="e">
        <f t="shared" si="1"/>
        <v>#DIV/0!</v>
      </c>
      <c r="O51" t="e">
        <f t="shared" si="2"/>
        <v>#DIV/0!</v>
      </c>
      <c r="P51" t="e">
        <f t="shared" si="3"/>
        <v>#NUM!</v>
      </c>
    </row>
    <row r="52" spans="1:16" x14ac:dyDescent="0.25">
      <c r="A52" s="17"/>
      <c r="B52" s="21"/>
      <c r="C52" s="27"/>
      <c r="D52" s="1">
        <v>2023</v>
      </c>
      <c r="E52" s="1">
        <v>1</v>
      </c>
      <c r="F52" s="12"/>
      <c r="G52" s="12"/>
      <c r="H52" s="12"/>
      <c r="I52" s="12"/>
      <c r="J52" s="12"/>
      <c r="K52" s="30">
        <v>0</v>
      </c>
      <c r="L52" s="31">
        <v>1</v>
      </c>
      <c r="M52" t="e">
        <f t="shared" si="4"/>
        <v>#DIV/0!</v>
      </c>
      <c r="N52" t="e">
        <f t="shared" si="1"/>
        <v>#DIV/0!</v>
      </c>
      <c r="O52" t="e">
        <f t="shared" si="2"/>
        <v>#DIV/0!</v>
      </c>
      <c r="P52" t="e">
        <f t="shared" si="3"/>
        <v>#NUM!</v>
      </c>
    </row>
    <row r="53" spans="1:16" ht="15" customHeight="1" x14ac:dyDescent="0.25">
      <c r="A53" s="17"/>
      <c r="B53" s="16" t="s">
        <v>22</v>
      </c>
      <c r="C53" s="27" t="s">
        <v>23</v>
      </c>
      <c r="D53" s="2">
        <v>2019</v>
      </c>
      <c r="E53" s="2">
        <v>1</v>
      </c>
      <c r="F53" s="34"/>
      <c r="G53" s="34"/>
      <c r="H53" s="34"/>
      <c r="I53" s="34"/>
      <c r="J53" s="34"/>
      <c r="K53" s="30">
        <v>1</v>
      </c>
      <c r="L53" s="31">
        <v>1</v>
      </c>
      <c r="M53" t="e">
        <f t="shared" si="4"/>
        <v>#DIV/0!</v>
      </c>
      <c r="N53" t="e">
        <f t="shared" si="1"/>
        <v>#DIV/0!</v>
      </c>
      <c r="O53" t="e">
        <f t="shared" si="2"/>
        <v>#DIV/0!</v>
      </c>
      <c r="P53" t="e">
        <f t="shared" si="3"/>
        <v>#NUM!</v>
      </c>
    </row>
    <row r="54" spans="1:16" x14ac:dyDescent="0.25">
      <c r="A54" s="17"/>
      <c r="B54" s="16"/>
      <c r="C54" s="27"/>
      <c r="D54">
        <v>2020</v>
      </c>
      <c r="E54">
        <v>1</v>
      </c>
      <c r="F54" s="10"/>
      <c r="G54" s="10"/>
      <c r="H54" s="10"/>
      <c r="I54" s="10"/>
      <c r="J54" s="10"/>
      <c r="K54" s="30">
        <v>0</v>
      </c>
      <c r="L54" s="31">
        <v>1</v>
      </c>
      <c r="M54" t="e">
        <f t="shared" si="4"/>
        <v>#DIV/0!</v>
      </c>
      <c r="N54" t="e">
        <f t="shared" si="1"/>
        <v>#DIV/0!</v>
      </c>
      <c r="O54" t="e">
        <f t="shared" si="2"/>
        <v>#DIV/0!</v>
      </c>
      <c r="P54" t="e">
        <f t="shared" si="3"/>
        <v>#NUM!</v>
      </c>
    </row>
    <row r="55" spans="1:16" x14ac:dyDescent="0.25">
      <c r="A55" s="17"/>
      <c r="B55" s="16"/>
      <c r="C55" s="27"/>
      <c r="D55">
        <v>2021</v>
      </c>
      <c r="E55">
        <v>1</v>
      </c>
      <c r="F55" s="10"/>
      <c r="G55" s="10"/>
      <c r="H55" s="10"/>
      <c r="I55" s="10"/>
      <c r="J55" s="10"/>
      <c r="K55" s="30">
        <v>1</v>
      </c>
      <c r="L55" s="31">
        <v>1</v>
      </c>
      <c r="M55" t="e">
        <f t="shared" si="4"/>
        <v>#DIV/0!</v>
      </c>
      <c r="N55" t="e">
        <f t="shared" si="1"/>
        <v>#DIV/0!</v>
      </c>
      <c r="O55" t="e">
        <f t="shared" si="2"/>
        <v>#DIV/0!</v>
      </c>
      <c r="P55" t="e">
        <f t="shared" si="3"/>
        <v>#NUM!</v>
      </c>
    </row>
    <row r="56" spans="1:16" x14ac:dyDescent="0.25">
      <c r="A56" s="17"/>
      <c r="B56" s="16"/>
      <c r="C56" s="27"/>
      <c r="D56">
        <v>2022</v>
      </c>
      <c r="E56">
        <v>1</v>
      </c>
      <c r="F56" s="10"/>
      <c r="G56" s="10"/>
      <c r="H56" s="10"/>
      <c r="I56" s="10"/>
      <c r="J56" s="10"/>
      <c r="K56" s="30">
        <v>1</v>
      </c>
      <c r="L56" s="31">
        <v>1</v>
      </c>
      <c r="M56" t="e">
        <f t="shared" si="4"/>
        <v>#DIV/0!</v>
      </c>
      <c r="N56" t="e">
        <f t="shared" si="1"/>
        <v>#DIV/0!</v>
      </c>
      <c r="O56" t="e">
        <f t="shared" si="2"/>
        <v>#DIV/0!</v>
      </c>
      <c r="P56" t="e">
        <f t="shared" si="3"/>
        <v>#NUM!</v>
      </c>
    </row>
    <row r="57" spans="1:16" x14ac:dyDescent="0.25">
      <c r="A57" s="17"/>
      <c r="B57" s="16"/>
      <c r="C57" s="27"/>
      <c r="D57" s="1">
        <v>2023</v>
      </c>
      <c r="E57" s="1">
        <v>1</v>
      </c>
      <c r="F57" s="12"/>
      <c r="G57" s="12"/>
      <c r="H57" s="12"/>
      <c r="I57" s="12"/>
      <c r="J57" s="12"/>
      <c r="K57" s="30">
        <v>1</v>
      </c>
      <c r="L57" s="31">
        <v>1</v>
      </c>
      <c r="M57" t="e">
        <f t="shared" si="4"/>
        <v>#DIV/0!</v>
      </c>
      <c r="N57" t="e">
        <f t="shared" si="1"/>
        <v>#DIV/0!</v>
      </c>
      <c r="O57" t="e">
        <f t="shared" si="2"/>
        <v>#DIV/0!</v>
      </c>
      <c r="P57" t="e">
        <f t="shared" si="3"/>
        <v>#NUM!</v>
      </c>
    </row>
    <row r="58" spans="1:16" x14ac:dyDescent="0.25">
      <c r="A58" s="17"/>
      <c r="B58" s="16"/>
      <c r="C58" s="27" t="s">
        <v>24</v>
      </c>
      <c r="D58">
        <v>2019</v>
      </c>
      <c r="E58">
        <v>1</v>
      </c>
      <c r="F58" s="10"/>
      <c r="G58" s="10"/>
      <c r="H58" s="10"/>
      <c r="I58" s="10"/>
      <c r="J58" s="10"/>
      <c r="K58" s="30">
        <v>1</v>
      </c>
      <c r="L58" s="31">
        <v>1</v>
      </c>
      <c r="M58" t="e">
        <f t="shared" si="4"/>
        <v>#DIV/0!</v>
      </c>
      <c r="N58" t="e">
        <f t="shared" si="1"/>
        <v>#DIV/0!</v>
      </c>
      <c r="O58" t="e">
        <f t="shared" si="2"/>
        <v>#DIV/0!</v>
      </c>
      <c r="P58" t="e">
        <f t="shared" si="3"/>
        <v>#NUM!</v>
      </c>
    </row>
    <row r="59" spans="1:16" x14ac:dyDescent="0.25">
      <c r="A59" s="17"/>
      <c r="B59" s="16"/>
      <c r="C59" s="27"/>
      <c r="D59">
        <v>2020</v>
      </c>
      <c r="E59">
        <v>1</v>
      </c>
      <c r="F59" s="10"/>
      <c r="G59" s="10"/>
      <c r="H59" s="10"/>
      <c r="I59" s="10"/>
      <c r="J59" s="10"/>
      <c r="K59" s="30">
        <v>1</v>
      </c>
      <c r="L59" s="31">
        <v>1</v>
      </c>
      <c r="M59" t="e">
        <f t="shared" si="4"/>
        <v>#DIV/0!</v>
      </c>
      <c r="N59" t="e">
        <f t="shared" si="1"/>
        <v>#DIV/0!</v>
      </c>
      <c r="O59" t="e">
        <f t="shared" si="2"/>
        <v>#DIV/0!</v>
      </c>
      <c r="P59" t="e">
        <f t="shared" si="3"/>
        <v>#NUM!</v>
      </c>
    </row>
    <row r="60" spans="1:16" x14ac:dyDescent="0.25">
      <c r="A60" s="17"/>
      <c r="B60" s="16"/>
      <c r="C60" s="27"/>
      <c r="D60">
        <v>2021</v>
      </c>
      <c r="E60">
        <v>1</v>
      </c>
      <c r="F60" s="10"/>
      <c r="G60" s="10"/>
      <c r="H60" s="10"/>
      <c r="I60" s="10"/>
      <c r="J60" s="10"/>
      <c r="K60" s="30">
        <v>1</v>
      </c>
      <c r="L60" s="31">
        <v>1</v>
      </c>
      <c r="M60" t="e">
        <f t="shared" si="4"/>
        <v>#DIV/0!</v>
      </c>
      <c r="N60" t="e">
        <f t="shared" si="1"/>
        <v>#DIV/0!</v>
      </c>
      <c r="O60" t="e">
        <f t="shared" si="2"/>
        <v>#DIV/0!</v>
      </c>
      <c r="P60" t="e">
        <f t="shared" si="3"/>
        <v>#NUM!</v>
      </c>
    </row>
    <row r="61" spans="1:16" x14ac:dyDescent="0.25">
      <c r="A61" s="17"/>
      <c r="B61" s="16"/>
      <c r="C61" s="27"/>
      <c r="D61">
        <v>2022</v>
      </c>
      <c r="E61">
        <v>1</v>
      </c>
      <c r="F61" s="10"/>
      <c r="G61" s="10"/>
      <c r="H61" s="10"/>
      <c r="I61" s="10"/>
      <c r="J61" s="10"/>
      <c r="K61" s="30">
        <v>1</v>
      </c>
      <c r="L61" s="31">
        <v>1</v>
      </c>
      <c r="M61" t="e">
        <f t="shared" si="4"/>
        <v>#DIV/0!</v>
      </c>
      <c r="N61" t="e">
        <f t="shared" si="1"/>
        <v>#DIV/0!</v>
      </c>
      <c r="O61" t="e">
        <f t="shared" si="2"/>
        <v>#DIV/0!</v>
      </c>
      <c r="P61" t="e">
        <f t="shared" si="3"/>
        <v>#NUM!</v>
      </c>
    </row>
    <row r="62" spans="1:16" x14ac:dyDescent="0.25">
      <c r="A62" s="17"/>
      <c r="B62" s="16"/>
      <c r="C62" s="27"/>
      <c r="D62" s="1">
        <v>2023</v>
      </c>
      <c r="E62" s="1">
        <v>1</v>
      </c>
      <c r="F62" s="12"/>
      <c r="G62" s="12"/>
      <c r="H62" s="12"/>
      <c r="I62" s="12"/>
      <c r="J62" s="12"/>
      <c r="K62" s="30">
        <v>1</v>
      </c>
      <c r="L62" s="31">
        <v>1</v>
      </c>
      <c r="M62" t="e">
        <f t="shared" si="4"/>
        <v>#DIV/0!</v>
      </c>
      <c r="N62" t="e">
        <f t="shared" si="1"/>
        <v>#DIV/0!</v>
      </c>
      <c r="O62" t="e">
        <f t="shared" si="2"/>
        <v>#DIV/0!</v>
      </c>
      <c r="P62" t="e">
        <f t="shared" si="3"/>
        <v>#NUM!</v>
      </c>
    </row>
    <row r="63" spans="1:16" ht="15" customHeight="1" x14ac:dyDescent="0.25">
      <c r="A63" s="17"/>
      <c r="B63" s="16" t="s">
        <v>25</v>
      </c>
      <c r="C63" s="27" t="s">
        <v>26</v>
      </c>
      <c r="D63" s="2">
        <v>2019</v>
      </c>
      <c r="E63" s="2">
        <v>1</v>
      </c>
      <c r="F63" s="34"/>
      <c r="G63" s="34"/>
      <c r="H63" s="34"/>
      <c r="I63" s="34"/>
      <c r="J63" s="34"/>
      <c r="K63" s="30">
        <v>0</v>
      </c>
      <c r="L63" s="31">
        <v>0</v>
      </c>
      <c r="M63" t="e">
        <f t="shared" si="4"/>
        <v>#DIV/0!</v>
      </c>
      <c r="N63" t="e">
        <f t="shared" si="1"/>
        <v>#DIV/0!</v>
      </c>
      <c r="O63" t="e">
        <f t="shared" si="2"/>
        <v>#DIV/0!</v>
      </c>
      <c r="P63" t="e">
        <f t="shared" si="3"/>
        <v>#NUM!</v>
      </c>
    </row>
    <row r="64" spans="1:16" x14ac:dyDescent="0.25">
      <c r="A64" s="17"/>
      <c r="B64" s="16"/>
      <c r="C64" s="27"/>
      <c r="D64">
        <v>2020</v>
      </c>
      <c r="E64">
        <v>1</v>
      </c>
      <c r="F64" s="10"/>
      <c r="G64" s="10"/>
      <c r="H64" s="10"/>
      <c r="I64" s="10"/>
      <c r="J64" s="10"/>
      <c r="K64" s="30">
        <v>0</v>
      </c>
      <c r="L64" s="31">
        <v>0</v>
      </c>
      <c r="M64" t="e">
        <f t="shared" si="4"/>
        <v>#DIV/0!</v>
      </c>
      <c r="N64" t="e">
        <f t="shared" si="1"/>
        <v>#DIV/0!</v>
      </c>
      <c r="O64" t="e">
        <f t="shared" si="2"/>
        <v>#DIV/0!</v>
      </c>
      <c r="P64" t="e">
        <f t="shared" si="3"/>
        <v>#NUM!</v>
      </c>
    </row>
    <row r="65" spans="1:16" x14ac:dyDescent="0.25">
      <c r="A65" s="17"/>
      <c r="B65" s="16"/>
      <c r="C65" s="27"/>
      <c r="D65">
        <v>2021</v>
      </c>
      <c r="E65">
        <v>1</v>
      </c>
      <c r="F65" s="10"/>
      <c r="G65" s="10"/>
      <c r="H65" s="10"/>
      <c r="I65" s="10"/>
      <c r="J65" s="10"/>
      <c r="K65" s="30">
        <v>0</v>
      </c>
      <c r="L65" s="31">
        <v>1</v>
      </c>
      <c r="M65" t="e">
        <f t="shared" si="4"/>
        <v>#DIV/0!</v>
      </c>
      <c r="N65" t="e">
        <f t="shared" si="1"/>
        <v>#DIV/0!</v>
      </c>
      <c r="O65" t="e">
        <f t="shared" si="2"/>
        <v>#DIV/0!</v>
      </c>
      <c r="P65" t="e">
        <f t="shared" si="3"/>
        <v>#NUM!</v>
      </c>
    </row>
    <row r="66" spans="1:16" x14ac:dyDescent="0.25">
      <c r="A66" s="17"/>
      <c r="B66" s="16"/>
      <c r="C66" s="27"/>
      <c r="D66">
        <v>2022</v>
      </c>
      <c r="E66">
        <v>1</v>
      </c>
      <c r="F66" s="10"/>
      <c r="G66" s="10"/>
      <c r="H66" s="10"/>
      <c r="I66" s="10"/>
      <c r="J66" s="10"/>
      <c r="K66" s="30">
        <v>1</v>
      </c>
      <c r="L66" s="31">
        <v>1</v>
      </c>
      <c r="M66" t="e">
        <f t="shared" si="4"/>
        <v>#DIV/0!</v>
      </c>
      <c r="N66" t="e">
        <f t="shared" si="1"/>
        <v>#DIV/0!</v>
      </c>
      <c r="O66" t="e">
        <f t="shared" si="2"/>
        <v>#DIV/0!</v>
      </c>
      <c r="P66" t="e">
        <f t="shared" si="3"/>
        <v>#NUM!</v>
      </c>
    </row>
    <row r="67" spans="1:16" x14ac:dyDescent="0.25">
      <c r="A67" s="17"/>
      <c r="B67" s="16"/>
      <c r="C67" s="27"/>
      <c r="D67" s="1">
        <v>2023</v>
      </c>
      <c r="E67" s="1">
        <v>1</v>
      </c>
      <c r="F67" s="12"/>
      <c r="G67" s="12"/>
      <c r="H67" s="12"/>
      <c r="I67" s="12"/>
      <c r="J67" s="12"/>
      <c r="K67" s="30">
        <v>1</v>
      </c>
      <c r="L67" s="31">
        <v>1</v>
      </c>
      <c r="M67" t="e">
        <f t="shared" si="4"/>
        <v>#DIV/0!</v>
      </c>
      <c r="N67" t="e">
        <f t="shared" si="1"/>
        <v>#DIV/0!</v>
      </c>
      <c r="O67" t="e">
        <f t="shared" si="2"/>
        <v>#DIV/0!</v>
      </c>
      <c r="P67" t="e">
        <f t="shared" si="3"/>
        <v>#NUM!</v>
      </c>
    </row>
    <row r="68" spans="1:16" x14ac:dyDescent="0.25">
      <c r="A68" s="17"/>
      <c r="B68" s="16"/>
      <c r="C68" s="27" t="s">
        <v>27</v>
      </c>
      <c r="D68">
        <v>2019</v>
      </c>
      <c r="E68">
        <v>1</v>
      </c>
      <c r="F68" s="10"/>
      <c r="G68" s="10"/>
      <c r="H68" s="10"/>
      <c r="I68" s="10"/>
      <c r="J68" s="10"/>
      <c r="K68" s="30">
        <v>1</v>
      </c>
      <c r="L68" s="30">
        <v>1</v>
      </c>
      <c r="M68" t="e">
        <f t="shared" si="4"/>
        <v>#DIV/0!</v>
      </c>
      <c r="N68" t="e">
        <f t="shared" ref="N68:N131" si="5">J68/H68</f>
        <v>#DIV/0!</v>
      </c>
      <c r="O68" t="e">
        <f t="shared" ref="O68:O131" si="6">F68/I68</f>
        <v>#DIV/0!</v>
      </c>
      <c r="P68" t="e">
        <f t="shared" ref="P68:P131" si="7">LN(H68)</f>
        <v>#NUM!</v>
      </c>
    </row>
    <row r="69" spans="1:16" x14ac:dyDescent="0.25">
      <c r="A69" s="17"/>
      <c r="B69" s="16"/>
      <c r="C69" s="27"/>
      <c r="D69">
        <v>2020</v>
      </c>
      <c r="E69">
        <v>1</v>
      </c>
      <c r="F69" s="10"/>
      <c r="G69" s="10"/>
      <c r="H69" s="10"/>
      <c r="I69" s="10"/>
      <c r="J69" s="10"/>
      <c r="K69" s="30">
        <v>1</v>
      </c>
      <c r="L69" s="30">
        <v>0</v>
      </c>
      <c r="M69" t="e">
        <f t="shared" si="4"/>
        <v>#DIV/0!</v>
      </c>
      <c r="N69" t="e">
        <f t="shared" si="5"/>
        <v>#DIV/0!</v>
      </c>
      <c r="O69" t="e">
        <f t="shared" si="6"/>
        <v>#DIV/0!</v>
      </c>
      <c r="P69" t="e">
        <f t="shared" si="7"/>
        <v>#NUM!</v>
      </c>
    </row>
    <row r="70" spans="1:16" x14ac:dyDescent="0.25">
      <c r="A70" s="17"/>
      <c r="B70" s="16"/>
      <c r="C70" s="27"/>
      <c r="D70">
        <v>2021</v>
      </c>
      <c r="E70">
        <v>1</v>
      </c>
      <c r="F70" s="10"/>
      <c r="G70" s="10"/>
      <c r="H70" s="10"/>
      <c r="I70" s="10"/>
      <c r="J70" s="10"/>
      <c r="K70" s="30">
        <v>0</v>
      </c>
      <c r="L70" s="30">
        <v>1</v>
      </c>
      <c r="M70" t="e">
        <f t="shared" si="4"/>
        <v>#DIV/0!</v>
      </c>
      <c r="N70" t="e">
        <f t="shared" si="5"/>
        <v>#DIV/0!</v>
      </c>
      <c r="O70" t="e">
        <f t="shared" si="6"/>
        <v>#DIV/0!</v>
      </c>
      <c r="P70" t="e">
        <f t="shared" si="7"/>
        <v>#NUM!</v>
      </c>
    </row>
    <row r="71" spans="1:16" x14ac:dyDescent="0.25">
      <c r="A71" s="17"/>
      <c r="B71" s="16"/>
      <c r="C71" s="27"/>
      <c r="D71">
        <v>2022</v>
      </c>
      <c r="E71">
        <v>1</v>
      </c>
      <c r="F71" s="10"/>
      <c r="G71" s="10"/>
      <c r="H71" s="10"/>
      <c r="I71" s="10"/>
      <c r="J71" s="10"/>
      <c r="K71" s="30">
        <v>0</v>
      </c>
      <c r="L71" s="30">
        <v>1</v>
      </c>
      <c r="M71" t="e">
        <f t="shared" si="4"/>
        <v>#DIV/0!</v>
      </c>
      <c r="N71" t="e">
        <f t="shared" si="5"/>
        <v>#DIV/0!</v>
      </c>
      <c r="O71" t="e">
        <f t="shared" si="6"/>
        <v>#DIV/0!</v>
      </c>
      <c r="P71" t="e">
        <f t="shared" si="7"/>
        <v>#NUM!</v>
      </c>
    </row>
    <row r="72" spans="1:16" x14ac:dyDescent="0.25">
      <c r="A72" s="17"/>
      <c r="B72" s="16"/>
      <c r="C72" s="27"/>
      <c r="D72" s="1">
        <v>2023</v>
      </c>
      <c r="E72" s="1">
        <v>1</v>
      </c>
      <c r="F72" s="12"/>
      <c r="G72" s="12"/>
      <c r="H72" s="12"/>
      <c r="I72" s="12"/>
      <c r="J72" s="12"/>
      <c r="K72" s="30">
        <v>1</v>
      </c>
      <c r="L72" s="30">
        <v>1</v>
      </c>
      <c r="M72" t="e">
        <f t="shared" si="4"/>
        <v>#DIV/0!</v>
      </c>
      <c r="N72" t="e">
        <f t="shared" si="5"/>
        <v>#DIV/0!</v>
      </c>
      <c r="O72" t="e">
        <f t="shared" si="6"/>
        <v>#DIV/0!</v>
      </c>
      <c r="P72" t="e">
        <f t="shared" si="7"/>
        <v>#NUM!</v>
      </c>
    </row>
    <row r="73" spans="1:16" x14ac:dyDescent="0.25">
      <c r="A73" s="17"/>
      <c r="B73" s="16"/>
      <c r="C73" s="27" t="s">
        <v>28</v>
      </c>
      <c r="D73">
        <v>2019</v>
      </c>
      <c r="E73">
        <v>1</v>
      </c>
      <c r="F73" s="10"/>
      <c r="G73" s="10"/>
      <c r="H73" s="10"/>
      <c r="I73" s="10"/>
      <c r="J73" s="10"/>
      <c r="K73" s="30">
        <v>0</v>
      </c>
      <c r="L73" s="30">
        <v>0</v>
      </c>
      <c r="M73" t="e">
        <f t="shared" ref="M73:M136" si="8">ABS(G73)/F73</f>
        <v>#DIV/0!</v>
      </c>
      <c r="N73" t="e">
        <f t="shared" si="5"/>
        <v>#DIV/0!</v>
      </c>
      <c r="O73" t="e">
        <f t="shared" si="6"/>
        <v>#DIV/0!</v>
      </c>
      <c r="P73" t="e">
        <f t="shared" si="7"/>
        <v>#NUM!</v>
      </c>
    </row>
    <row r="74" spans="1:16" x14ac:dyDescent="0.25">
      <c r="A74" s="17"/>
      <c r="B74" s="16"/>
      <c r="C74" s="27"/>
      <c r="D74">
        <v>2020</v>
      </c>
      <c r="E74">
        <v>1</v>
      </c>
      <c r="F74" s="10"/>
      <c r="G74" s="10"/>
      <c r="H74" s="10"/>
      <c r="I74" s="10"/>
      <c r="J74" s="10"/>
      <c r="K74" s="30">
        <v>0</v>
      </c>
      <c r="L74" s="30">
        <v>1</v>
      </c>
      <c r="M74" t="e">
        <f t="shared" si="8"/>
        <v>#DIV/0!</v>
      </c>
      <c r="N74" t="e">
        <f t="shared" si="5"/>
        <v>#DIV/0!</v>
      </c>
      <c r="O74" t="e">
        <f t="shared" si="6"/>
        <v>#DIV/0!</v>
      </c>
      <c r="P74" t="e">
        <f t="shared" si="7"/>
        <v>#NUM!</v>
      </c>
    </row>
    <row r="75" spans="1:16" x14ac:dyDescent="0.25">
      <c r="A75" s="17"/>
      <c r="B75" s="16"/>
      <c r="C75" s="27"/>
      <c r="D75">
        <v>2021</v>
      </c>
      <c r="E75">
        <v>1</v>
      </c>
      <c r="F75" s="10"/>
      <c r="G75" s="10"/>
      <c r="H75" s="10"/>
      <c r="I75" s="10"/>
      <c r="J75" s="10"/>
      <c r="K75" s="30">
        <v>1</v>
      </c>
      <c r="L75" s="30">
        <v>1</v>
      </c>
      <c r="M75" t="e">
        <f t="shared" si="8"/>
        <v>#DIV/0!</v>
      </c>
      <c r="N75" t="e">
        <f t="shared" si="5"/>
        <v>#DIV/0!</v>
      </c>
      <c r="O75" t="e">
        <f t="shared" si="6"/>
        <v>#DIV/0!</v>
      </c>
      <c r="P75" t="e">
        <f t="shared" si="7"/>
        <v>#NUM!</v>
      </c>
    </row>
    <row r="76" spans="1:16" x14ac:dyDescent="0.25">
      <c r="A76" s="17"/>
      <c r="B76" s="16"/>
      <c r="C76" s="27"/>
      <c r="D76">
        <v>2022</v>
      </c>
      <c r="E76">
        <v>1</v>
      </c>
      <c r="F76" s="10"/>
      <c r="G76" s="10"/>
      <c r="H76" s="10"/>
      <c r="I76" s="10"/>
      <c r="J76" s="10"/>
      <c r="K76" s="30">
        <v>1</v>
      </c>
      <c r="L76" s="30">
        <v>1</v>
      </c>
      <c r="M76" t="e">
        <f t="shared" si="8"/>
        <v>#DIV/0!</v>
      </c>
      <c r="N76" t="e">
        <f t="shared" si="5"/>
        <v>#DIV/0!</v>
      </c>
      <c r="O76" t="e">
        <f t="shared" si="6"/>
        <v>#DIV/0!</v>
      </c>
      <c r="P76" t="e">
        <f t="shared" si="7"/>
        <v>#NUM!</v>
      </c>
    </row>
    <row r="77" spans="1:16" x14ac:dyDescent="0.25">
      <c r="A77" s="17"/>
      <c r="B77" s="16"/>
      <c r="C77" s="27"/>
      <c r="D77" s="1">
        <v>2023</v>
      </c>
      <c r="E77" s="1">
        <v>1</v>
      </c>
      <c r="F77" s="12"/>
      <c r="G77" s="12"/>
      <c r="H77" s="12"/>
      <c r="I77" s="12"/>
      <c r="J77" s="12"/>
      <c r="K77" s="30">
        <v>1</v>
      </c>
      <c r="L77" s="30">
        <v>1</v>
      </c>
      <c r="M77" t="e">
        <f t="shared" si="8"/>
        <v>#DIV/0!</v>
      </c>
      <c r="N77" t="e">
        <f t="shared" si="5"/>
        <v>#DIV/0!</v>
      </c>
      <c r="O77" t="e">
        <f t="shared" si="6"/>
        <v>#DIV/0!</v>
      </c>
      <c r="P77" t="e">
        <f t="shared" si="7"/>
        <v>#NUM!</v>
      </c>
    </row>
    <row r="78" spans="1:16" ht="15" customHeight="1" x14ac:dyDescent="0.25">
      <c r="A78" s="17"/>
      <c r="B78" s="16" t="s">
        <v>29</v>
      </c>
      <c r="C78" s="27" t="s">
        <v>30</v>
      </c>
      <c r="D78" s="2">
        <v>2019</v>
      </c>
      <c r="E78" s="2">
        <v>1</v>
      </c>
      <c r="F78" s="34"/>
      <c r="G78" s="34"/>
      <c r="H78" s="34"/>
      <c r="I78" s="34"/>
      <c r="J78" s="34"/>
      <c r="K78" s="30">
        <v>1</v>
      </c>
      <c r="L78" s="30">
        <v>1</v>
      </c>
      <c r="M78" t="e">
        <f t="shared" si="8"/>
        <v>#DIV/0!</v>
      </c>
      <c r="N78" t="e">
        <f t="shared" si="5"/>
        <v>#DIV/0!</v>
      </c>
      <c r="O78" t="e">
        <f t="shared" si="6"/>
        <v>#DIV/0!</v>
      </c>
      <c r="P78" t="e">
        <f t="shared" si="7"/>
        <v>#NUM!</v>
      </c>
    </row>
    <row r="79" spans="1:16" x14ac:dyDescent="0.25">
      <c r="A79" s="17"/>
      <c r="B79" s="16"/>
      <c r="C79" s="27"/>
      <c r="D79">
        <v>2020</v>
      </c>
      <c r="E79">
        <v>1</v>
      </c>
      <c r="F79" s="10"/>
      <c r="G79" s="10"/>
      <c r="H79" s="10"/>
      <c r="I79" s="10"/>
      <c r="J79" s="10"/>
      <c r="K79" s="30">
        <v>1</v>
      </c>
      <c r="L79" s="30">
        <v>1</v>
      </c>
      <c r="M79" t="e">
        <f t="shared" si="8"/>
        <v>#DIV/0!</v>
      </c>
      <c r="N79" t="e">
        <f t="shared" si="5"/>
        <v>#DIV/0!</v>
      </c>
      <c r="O79" t="e">
        <f t="shared" si="6"/>
        <v>#DIV/0!</v>
      </c>
      <c r="P79" t="e">
        <f t="shared" si="7"/>
        <v>#NUM!</v>
      </c>
    </row>
    <row r="80" spans="1:16" x14ac:dyDescent="0.25">
      <c r="A80" s="17"/>
      <c r="B80" s="16"/>
      <c r="C80" s="27"/>
      <c r="D80">
        <v>2021</v>
      </c>
      <c r="E80">
        <v>1</v>
      </c>
      <c r="F80" s="10"/>
      <c r="G80" s="10"/>
      <c r="H80" s="10"/>
      <c r="I80" s="10"/>
      <c r="J80" s="10"/>
      <c r="K80" s="30">
        <v>1</v>
      </c>
      <c r="L80" s="30">
        <v>1</v>
      </c>
      <c r="M80" t="e">
        <f t="shared" si="8"/>
        <v>#DIV/0!</v>
      </c>
      <c r="N80" t="e">
        <f t="shared" si="5"/>
        <v>#DIV/0!</v>
      </c>
      <c r="O80" t="e">
        <f t="shared" si="6"/>
        <v>#DIV/0!</v>
      </c>
      <c r="P80" t="e">
        <f t="shared" si="7"/>
        <v>#NUM!</v>
      </c>
    </row>
    <row r="81" spans="1:16" x14ac:dyDescent="0.25">
      <c r="A81" s="17"/>
      <c r="B81" s="16"/>
      <c r="C81" s="27"/>
      <c r="D81">
        <v>2022</v>
      </c>
      <c r="E81">
        <v>1</v>
      </c>
      <c r="F81" s="10"/>
      <c r="G81" s="10"/>
      <c r="H81" s="10"/>
      <c r="I81" s="10"/>
      <c r="J81" s="10"/>
      <c r="K81" s="30">
        <v>1</v>
      </c>
      <c r="L81" s="30">
        <v>1</v>
      </c>
      <c r="M81" t="e">
        <f t="shared" si="8"/>
        <v>#DIV/0!</v>
      </c>
      <c r="N81" t="e">
        <f t="shared" si="5"/>
        <v>#DIV/0!</v>
      </c>
      <c r="O81" t="e">
        <f t="shared" si="6"/>
        <v>#DIV/0!</v>
      </c>
      <c r="P81" t="e">
        <f t="shared" si="7"/>
        <v>#NUM!</v>
      </c>
    </row>
    <row r="82" spans="1:16" x14ac:dyDescent="0.25">
      <c r="A82" s="17"/>
      <c r="B82" s="16"/>
      <c r="C82" s="27"/>
      <c r="D82" s="1">
        <v>2023</v>
      </c>
      <c r="E82" s="1">
        <v>1</v>
      </c>
      <c r="F82" s="12"/>
      <c r="G82" s="12"/>
      <c r="H82" s="12"/>
      <c r="I82" s="12"/>
      <c r="J82" s="12"/>
      <c r="K82" s="30">
        <v>1</v>
      </c>
      <c r="L82" s="30">
        <v>1</v>
      </c>
      <c r="M82" t="e">
        <f t="shared" si="8"/>
        <v>#DIV/0!</v>
      </c>
      <c r="N82" t="e">
        <f t="shared" si="5"/>
        <v>#DIV/0!</v>
      </c>
      <c r="O82" t="e">
        <f t="shared" si="6"/>
        <v>#DIV/0!</v>
      </c>
      <c r="P82" t="e">
        <f t="shared" si="7"/>
        <v>#NUM!</v>
      </c>
    </row>
    <row r="83" spans="1:16" x14ac:dyDescent="0.25">
      <c r="A83" s="17"/>
      <c r="B83" s="16"/>
      <c r="C83" s="27" t="s">
        <v>31</v>
      </c>
      <c r="D83">
        <v>2019</v>
      </c>
      <c r="E83">
        <v>1</v>
      </c>
      <c r="F83" s="10"/>
      <c r="G83" s="10"/>
      <c r="H83" s="10"/>
      <c r="I83" s="10"/>
      <c r="J83" s="10"/>
      <c r="K83" s="30">
        <v>1</v>
      </c>
      <c r="L83" s="30">
        <v>1</v>
      </c>
      <c r="M83" t="e">
        <f t="shared" si="8"/>
        <v>#DIV/0!</v>
      </c>
      <c r="N83" t="e">
        <f t="shared" si="5"/>
        <v>#DIV/0!</v>
      </c>
      <c r="O83" t="e">
        <f t="shared" si="6"/>
        <v>#DIV/0!</v>
      </c>
      <c r="P83" t="e">
        <f t="shared" si="7"/>
        <v>#NUM!</v>
      </c>
    </row>
    <row r="84" spans="1:16" x14ac:dyDescent="0.25">
      <c r="A84" s="17"/>
      <c r="B84" s="16"/>
      <c r="C84" s="27"/>
      <c r="D84">
        <v>2020</v>
      </c>
      <c r="E84">
        <v>1</v>
      </c>
      <c r="F84" s="10"/>
      <c r="G84" s="10"/>
      <c r="H84" s="10"/>
      <c r="I84" s="10"/>
      <c r="J84" s="10"/>
      <c r="K84" s="30">
        <v>1</v>
      </c>
      <c r="L84" s="30">
        <v>1</v>
      </c>
      <c r="M84" t="e">
        <f t="shared" si="8"/>
        <v>#DIV/0!</v>
      </c>
      <c r="N84" t="e">
        <f t="shared" si="5"/>
        <v>#DIV/0!</v>
      </c>
      <c r="O84" t="e">
        <f t="shared" si="6"/>
        <v>#DIV/0!</v>
      </c>
      <c r="P84" t="e">
        <f t="shared" si="7"/>
        <v>#NUM!</v>
      </c>
    </row>
    <row r="85" spans="1:16" x14ac:dyDescent="0.25">
      <c r="A85" s="17"/>
      <c r="B85" s="16"/>
      <c r="C85" s="27"/>
      <c r="D85">
        <v>2021</v>
      </c>
      <c r="E85">
        <v>1</v>
      </c>
      <c r="F85" s="10"/>
      <c r="G85" s="10"/>
      <c r="H85" s="10"/>
      <c r="I85" s="10"/>
      <c r="J85" s="10"/>
      <c r="K85" s="30">
        <v>1</v>
      </c>
      <c r="L85" s="30">
        <v>1</v>
      </c>
      <c r="M85" t="e">
        <f t="shared" si="8"/>
        <v>#DIV/0!</v>
      </c>
      <c r="N85" t="e">
        <f t="shared" si="5"/>
        <v>#DIV/0!</v>
      </c>
      <c r="O85" t="e">
        <f t="shared" si="6"/>
        <v>#DIV/0!</v>
      </c>
      <c r="P85" t="e">
        <f t="shared" si="7"/>
        <v>#NUM!</v>
      </c>
    </row>
    <row r="86" spans="1:16" x14ac:dyDescent="0.25">
      <c r="A86" s="17"/>
      <c r="B86" s="16"/>
      <c r="C86" s="27"/>
      <c r="D86">
        <v>2022</v>
      </c>
      <c r="E86">
        <v>1</v>
      </c>
      <c r="F86" s="10"/>
      <c r="G86" s="10"/>
      <c r="H86" s="10"/>
      <c r="I86" s="10"/>
      <c r="J86" s="10"/>
      <c r="K86" s="30">
        <v>1</v>
      </c>
      <c r="L86" s="30">
        <v>1</v>
      </c>
      <c r="M86" t="e">
        <f t="shared" si="8"/>
        <v>#DIV/0!</v>
      </c>
      <c r="N86" t="e">
        <f t="shared" si="5"/>
        <v>#DIV/0!</v>
      </c>
      <c r="O86" t="e">
        <f t="shared" si="6"/>
        <v>#DIV/0!</v>
      </c>
      <c r="P86" t="e">
        <f t="shared" si="7"/>
        <v>#NUM!</v>
      </c>
    </row>
    <row r="87" spans="1:16" x14ac:dyDescent="0.25">
      <c r="A87" s="17"/>
      <c r="B87" s="16"/>
      <c r="C87" s="27"/>
      <c r="D87" s="1">
        <v>2023</v>
      </c>
      <c r="E87" s="1">
        <v>1</v>
      </c>
      <c r="F87" s="12"/>
      <c r="G87" s="12"/>
      <c r="H87" s="12"/>
      <c r="I87" s="12"/>
      <c r="J87" s="12"/>
      <c r="K87" s="30">
        <v>1</v>
      </c>
      <c r="L87" s="30">
        <v>1</v>
      </c>
      <c r="M87" t="e">
        <f t="shared" si="8"/>
        <v>#DIV/0!</v>
      </c>
      <c r="N87" t="e">
        <f t="shared" si="5"/>
        <v>#DIV/0!</v>
      </c>
      <c r="O87" t="e">
        <f t="shared" si="6"/>
        <v>#DIV/0!</v>
      </c>
      <c r="P87" t="e">
        <f t="shared" si="7"/>
        <v>#NUM!</v>
      </c>
    </row>
    <row r="88" spans="1:16" x14ac:dyDescent="0.25">
      <c r="A88" s="17"/>
      <c r="B88" s="16"/>
      <c r="C88" s="27" t="s">
        <v>32</v>
      </c>
      <c r="D88">
        <v>2019</v>
      </c>
      <c r="E88">
        <v>1</v>
      </c>
      <c r="F88" s="10"/>
      <c r="G88" s="10"/>
      <c r="H88" s="10"/>
      <c r="I88" s="10"/>
      <c r="J88" s="10"/>
      <c r="K88" s="30">
        <v>1</v>
      </c>
      <c r="L88" s="30">
        <v>1</v>
      </c>
      <c r="M88" t="e">
        <f t="shared" si="8"/>
        <v>#DIV/0!</v>
      </c>
      <c r="N88" t="e">
        <f t="shared" si="5"/>
        <v>#DIV/0!</v>
      </c>
      <c r="O88" t="e">
        <f t="shared" si="6"/>
        <v>#DIV/0!</v>
      </c>
      <c r="P88" t="e">
        <f t="shared" si="7"/>
        <v>#NUM!</v>
      </c>
    </row>
    <row r="89" spans="1:16" x14ac:dyDescent="0.25">
      <c r="A89" s="17"/>
      <c r="B89" s="16"/>
      <c r="C89" s="27"/>
      <c r="D89">
        <v>2020</v>
      </c>
      <c r="E89">
        <v>1</v>
      </c>
      <c r="F89" s="10"/>
      <c r="G89" s="10"/>
      <c r="H89" s="10"/>
      <c r="I89" s="10"/>
      <c r="J89" s="10"/>
      <c r="K89" s="30">
        <v>1</v>
      </c>
      <c r="L89" s="30">
        <v>1</v>
      </c>
      <c r="M89" t="e">
        <f t="shared" si="8"/>
        <v>#DIV/0!</v>
      </c>
      <c r="N89" t="e">
        <f t="shared" si="5"/>
        <v>#DIV/0!</v>
      </c>
      <c r="O89" t="e">
        <f t="shared" si="6"/>
        <v>#DIV/0!</v>
      </c>
      <c r="P89" t="e">
        <f t="shared" si="7"/>
        <v>#NUM!</v>
      </c>
    </row>
    <row r="90" spans="1:16" x14ac:dyDescent="0.25">
      <c r="A90" s="17"/>
      <c r="B90" s="16"/>
      <c r="C90" s="27"/>
      <c r="D90">
        <v>2021</v>
      </c>
      <c r="E90">
        <v>1</v>
      </c>
      <c r="F90" s="10"/>
      <c r="G90" s="10"/>
      <c r="H90" s="10"/>
      <c r="I90" s="10"/>
      <c r="J90" s="10"/>
      <c r="K90" s="30">
        <v>1</v>
      </c>
      <c r="L90" s="30">
        <v>1</v>
      </c>
      <c r="M90" t="e">
        <f t="shared" si="8"/>
        <v>#DIV/0!</v>
      </c>
      <c r="N90" t="e">
        <f t="shared" si="5"/>
        <v>#DIV/0!</v>
      </c>
      <c r="O90" t="e">
        <f t="shared" si="6"/>
        <v>#DIV/0!</v>
      </c>
      <c r="P90" t="e">
        <f t="shared" si="7"/>
        <v>#NUM!</v>
      </c>
    </row>
    <row r="91" spans="1:16" x14ac:dyDescent="0.25">
      <c r="A91" s="17"/>
      <c r="B91" s="16"/>
      <c r="C91" s="27"/>
      <c r="D91">
        <v>2022</v>
      </c>
      <c r="E91">
        <v>1</v>
      </c>
      <c r="F91" s="10"/>
      <c r="G91" s="10"/>
      <c r="H91" s="10"/>
      <c r="I91" s="10"/>
      <c r="J91" s="10"/>
      <c r="K91" s="30">
        <v>1</v>
      </c>
      <c r="L91" s="30">
        <v>1</v>
      </c>
      <c r="M91" t="e">
        <f t="shared" si="8"/>
        <v>#DIV/0!</v>
      </c>
      <c r="N91" t="e">
        <f t="shared" si="5"/>
        <v>#DIV/0!</v>
      </c>
      <c r="O91" t="e">
        <f t="shared" si="6"/>
        <v>#DIV/0!</v>
      </c>
      <c r="P91" t="e">
        <f t="shared" si="7"/>
        <v>#NUM!</v>
      </c>
    </row>
    <row r="92" spans="1:16" x14ac:dyDescent="0.25">
      <c r="A92" s="17"/>
      <c r="B92" s="16"/>
      <c r="C92" s="27"/>
      <c r="D92" s="1">
        <v>2023</v>
      </c>
      <c r="E92" s="1">
        <v>1</v>
      </c>
      <c r="F92" s="12"/>
      <c r="G92" s="12"/>
      <c r="H92" s="12"/>
      <c r="I92" s="12"/>
      <c r="J92" s="12"/>
      <c r="K92" s="30">
        <v>1</v>
      </c>
      <c r="L92" s="30">
        <v>1</v>
      </c>
      <c r="M92" t="e">
        <f t="shared" si="8"/>
        <v>#DIV/0!</v>
      </c>
      <c r="N92" t="e">
        <f t="shared" si="5"/>
        <v>#DIV/0!</v>
      </c>
      <c r="O92" t="e">
        <f t="shared" si="6"/>
        <v>#DIV/0!</v>
      </c>
      <c r="P92" t="e">
        <f t="shared" si="7"/>
        <v>#NUM!</v>
      </c>
    </row>
    <row r="93" spans="1:16" x14ac:dyDescent="0.25">
      <c r="A93" s="17"/>
      <c r="B93" s="16"/>
      <c r="C93" s="27" t="s">
        <v>33</v>
      </c>
      <c r="D93">
        <v>2019</v>
      </c>
      <c r="E93">
        <v>1</v>
      </c>
      <c r="F93" s="10"/>
      <c r="G93" s="10"/>
      <c r="H93" s="10"/>
      <c r="I93" s="10"/>
      <c r="J93" s="10"/>
      <c r="K93" s="30">
        <v>1</v>
      </c>
      <c r="L93" s="30">
        <v>1</v>
      </c>
      <c r="M93" t="e">
        <f t="shared" si="8"/>
        <v>#DIV/0!</v>
      </c>
      <c r="N93" t="e">
        <f t="shared" si="5"/>
        <v>#DIV/0!</v>
      </c>
      <c r="O93" t="e">
        <f t="shared" si="6"/>
        <v>#DIV/0!</v>
      </c>
      <c r="P93" t="e">
        <f t="shared" si="7"/>
        <v>#NUM!</v>
      </c>
    </row>
    <row r="94" spans="1:16" x14ac:dyDescent="0.25">
      <c r="A94" s="17"/>
      <c r="B94" s="16"/>
      <c r="C94" s="27"/>
      <c r="D94">
        <v>2020</v>
      </c>
      <c r="E94">
        <v>1</v>
      </c>
      <c r="F94" s="10"/>
      <c r="G94" s="10"/>
      <c r="H94" s="10"/>
      <c r="I94" s="10"/>
      <c r="J94" s="10"/>
      <c r="K94" s="30">
        <v>1</v>
      </c>
      <c r="L94" s="30">
        <v>1</v>
      </c>
      <c r="M94" t="e">
        <f t="shared" si="8"/>
        <v>#DIV/0!</v>
      </c>
      <c r="N94" t="e">
        <f t="shared" si="5"/>
        <v>#DIV/0!</v>
      </c>
      <c r="O94" t="e">
        <f t="shared" si="6"/>
        <v>#DIV/0!</v>
      </c>
      <c r="P94" t="e">
        <f t="shared" si="7"/>
        <v>#NUM!</v>
      </c>
    </row>
    <row r="95" spans="1:16" x14ac:dyDescent="0.25">
      <c r="A95" s="17"/>
      <c r="B95" s="16"/>
      <c r="C95" s="27"/>
      <c r="D95">
        <v>2021</v>
      </c>
      <c r="E95">
        <v>1</v>
      </c>
      <c r="F95" s="10"/>
      <c r="G95" s="10"/>
      <c r="H95" s="10"/>
      <c r="I95" s="10"/>
      <c r="J95" s="10"/>
      <c r="K95" s="30">
        <v>1</v>
      </c>
      <c r="L95" s="30">
        <v>1</v>
      </c>
      <c r="M95" t="e">
        <f t="shared" si="8"/>
        <v>#DIV/0!</v>
      </c>
      <c r="N95" t="e">
        <f t="shared" si="5"/>
        <v>#DIV/0!</v>
      </c>
      <c r="O95" t="e">
        <f t="shared" si="6"/>
        <v>#DIV/0!</v>
      </c>
      <c r="P95" t="e">
        <f t="shared" si="7"/>
        <v>#NUM!</v>
      </c>
    </row>
    <row r="96" spans="1:16" x14ac:dyDescent="0.25">
      <c r="A96" s="17"/>
      <c r="B96" s="16"/>
      <c r="C96" s="27"/>
      <c r="D96">
        <v>2022</v>
      </c>
      <c r="E96">
        <v>1</v>
      </c>
      <c r="F96" s="10"/>
      <c r="G96" s="10"/>
      <c r="H96" s="10"/>
      <c r="I96" s="10"/>
      <c r="J96" s="10"/>
      <c r="K96" s="30">
        <v>1</v>
      </c>
      <c r="L96" s="30">
        <v>1</v>
      </c>
      <c r="M96" t="e">
        <f t="shared" si="8"/>
        <v>#DIV/0!</v>
      </c>
      <c r="N96" t="e">
        <f t="shared" si="5"/>
        <v>#DIV/0!</v>
      </c>
      <c r="O96" t="e">
        <f t="shared" si="6"/>
        <v>#DIV/0!</v>
      </c>
      <c r="P96" t="e">
        <f t="shared" si="7"/>
        <v>#NUM!</v>
      </c>
    </row>
    <row r="97" spans="1:16" x14ac:dyDescent="0.25">
      <c r="A97" s="17"/>
      <c r="B97" s="16"/>
      <c r="C97" s="27"/>
      <c r="D97" s="1">
        <v>2023</v>
      </c>
      <c r="E97" s="1">
        <v>1</v>
      </c>
      <c r="F97" s="12"/>
      <c r="G97" s="12"/>
      <c r="H97" s="12"/>
      <c r="I97" s="12"/>
      <c r="J97" s="12"/>
      <c r="K97" s="30">
        <v>1</v>
      </c>
      <c r="L97" s="30">
        <v>1</v>
      </c>
      <c r="M97" t="e">
        <f t="shared" si="8"/>
        <v>#DIV/0!</v>
      </c>
      <c r="N97" t="e">
        <f t="shared" si="5"/>
        <v>#DIV/0!</v>
      </c>
      <c r="O97" t="e">
        <f t="shared" si="6"/>
        <v>#DIV/0!</v>
      </c>
      <c r="P97" t="e">
        <f t="shared" si="7"/>
        <v>#NUM!</v>
      </c>
    </row>
    <row r="98" spans="1:16" x14ac:dyDescent="0.25">
      <c r="A98" s="17"/>
      <c r="B98" s="16"/>
      <c r="C98" s="27" t="s">
        <v>34</v>
      </c>
      <c r="D98">
        <v>2019</v>
      </c>
      <c r="E98">
        <v>1</v>
      </c>
      <c r="F98" s="10"/>
      <c r="G98" s="10"/>
      <c r="H98" s="10"/>
      <c r="I98" s="10"/>
      <c r="J98" s="10"/>
      <c r="K98" s="30">
        <v>0</v>
      </c>
      <c r="L98" s="30">
        <v>1</v>
      </c>
      <c r="M98" t="e">
        <f t="shared" si="8"/>
        <v>#DIV/0!</v>
      </c>
      <c r="N98" t="e">
        <f t="shared" si="5"/>
        <v>#DIV/0!</v>
      </c>
      <c r="O98" t="e">
        <f t="shared" si="6"/>
        <v>#DIV/0!</v>
      </c>
      <c r="P98" t="e">
        <f t="shared" si="7"/>
        <v>#NUM!</v>
      </c>
    </row>
    <row r="99" spans="1:16" x14ac:dyDescent="0.25">
      <c r="A99" s="17"/>
      <c r="B99" s="16"/>
      <c r="C99" s="27"/>
      <c r="D99">
        <v>2020</v>
      </c>
      <c r="E99">
        <v>1</v>
      </c>
      <c r="F99" s="10"/>
      <c r="G99" s="10"/>
      <c r="H99" s="10"/>
      <c r="I99" s="10"/>
      <c r="J99" s="10"/>
      <c r="K99" s="30">
        <v>0</v>
      </c>
      <c r="L99" s="30">
        <v>1</v>
      </c>
      <c r="M99" t="e">
        <f t="shared" si="8"/>
        <v>#DIV/0!</v>
      </c>
      <c r="N99" t="e">
        <f t="shared" si="5"/>
        <v>#DIV/0!</v>
      </c>
      <c r="O99" t="e">
        <f t="shared" si="6"/>
        <v>#DIV/0!</v>
      </c>
      <c r="P99" t="e">
        <f t="shared" si="7"/>
        <v>#NUM!</v>
      </c>
    </row>
    <row r="100" spans="1:16" x14ac:dyDescent="0.25">
      <c r="A100" s="17"/>
      <c r="B100" s="16"/>
      <c r="C100" s="27"/>
      <c r="D100">
        <v>2021</v>
      </c>
      <c r="E100">
        <v>1</v>
      </c>
      <c r="F100" s="10"/>
      <c r="G100" s="10"/>
      <c r="H100" s="10"/>
      <c r="I100" s="10"/>
      <c r="J100" s="10"/>
      <c r="K100" s="30">
        <v>0</v>
      </c>
      <c r="L100" s="30">
        <v>1</v>
      </c>
      <c r="M100" t="e">
        <f t="shared" si="8"/>
        <v>#DIV/0!</v>
      </c>
      <c r="N100" t="e">
        <f t="shared" si="5"/>
        <v>#DIV/0!</v>
      </c>
      <c r="O100" t="e">
        <f t="shared" si="6"/>
        <v>#DIV/0!</v>
      </c>
      <c r="P100" t="e">
        <f t="shared" si="7"/>
        <v>#NUM!</v>
      </c>
    </row>
    <row r="101" spans="1:16" x14ac:dyDescent="0.25">
      <c r="A101" s="17"/>
      <c r="B101" s="16"/>
      <c r="C101" s="27"/>
      <c r="D101">
        <v>2022</v>
      </c>
      <c r="E101">
        <v>1</v>
      </c>
      <c r="F101" s="10"/>
      <c r="G101" s="10"/>
      <c r="H101" s="10"/>
      <c r="I101" s="10"/>
      <c r="J101" s="10"/>
      <c r="K101" s="30">
        <v>1</v>
      </c>
      <c r="L101" s="30">
        <v>1</v>
      </c>
      <c r="M101" t="e">
        <f t="shared" si="8"/>
        <v>#DIV/0!</v>
      </c>
      <c r="N101" t="e">
        <f t="shared" si="5"/>
        <v>#DIV/0!</v>
      </c>
      <c r="O101" t="e">
        <f t="shared" si="6"/>
        <v>#DIV/0!</v>
      </c>
      <c r="P101" t="e">
        <f t="shared" si="7"/>
        <v>#NUM!</v>
      </c>
    </row>
    <row r="102" spans="1:16" x14ac:dyDescent="0.25">
      <c r="A102" s="17"/>
      <c r="B102" s="16"/>
      <c r="C102" s="27"/>
      <c r="D102" s="1">
        <v>2023</v>
      </c>
      <c r="E102" s="1">
        <v>1</v>
      </c>
      <c r="F102" s="12"/>
      <c r="G102" s="12"/>
      <c r="H102" s="12"/>
      <c r="I102" s="12"/>
      <c r="J102" s="12"/>
      <c r="K102" s="30">
        <v>1</v>
      </c>
      <c r="L102" s="30">
        <v>1</v>
      </c>
      <c r="M102" t="e">
        <f t="shared" si="8"/>
        <v>#DIV/0!</v>
      </c>
      <c r="N102" t="e">
        <f t="shared" si="5"/>
        <v>#DIV/0!</v>
      </c>
      <c r="O102" t="e">
        <f t="shared" si="6"/>
        <v>#DIV/0!</v>
      </c>
      <c r="P102" t="e">
        <f t="shared" si="7"/>
        <v>#NUM!</v>
      </c>
    </row>
    <row r="103" spans="1:16" ht="15" customHeight="1" x14ac:dyDescent="0.25">
      <c r="A103" s="18" t="s">
        <v>35</v>
      </c>
      <c r="B103" s="16" t="s">
        <v>36</v>
      </c>
      <c r="C103" s="27" t="s">
        <v>37</v>
      </c>
      <c r="D103" s="2">
        <v>2019</v>
      </c>
      <c r="E103" s="2">
        <v>0</v>
      </c>
      <c r="F103" s="34"/>
      <c r="G103" s="34"/>
      <c r="H103" s="34"/>
      <c r="I103" s="34"/>
      <c r="J103" s="34"/>
      <c r="K103" s="30">
        <v>1</v>
      </c>
      <c r="L103" s="30">
        <v>1</v>
      </c>
      <c r="M103" t="e">
        <f t="shared" si="8"/>
        <v>#DIV/0!</v>
      </c>
      <c r="N103" t="e">
        <f t="shared" si="5"/>
        <v>#DIV/0!</v>
      </c>
      <c r="O103" t="e">
        <f t="shared" si="6"/>
        <v>#DIV/0!</v>
      </c>
      <c r="P103" t="e">
        <f t="shared" si="7"/>
        <v>#NUM!</v>
      </c>
    </row>
    <row r="104" spans="1:16" x14ac:dyDescent="0.25">
      <c r="A104" s="19"/>
      <c r="B104" s="16"/>
      <c r="C104" s="27"/>
      <c r="D104">
        <v>2020</v>
      </c>
      <c r="E104">
        <v>0</v>
      </c>
      <c r="F104" s="10"/>
      <c r="G104" s="10"/>
      <c r="H104" s="10"/>
      <c r="I104" s="10"/>
      <c r="J104" s="10"/>
      <c r="K104" s="30">
        <v>1</v>
      </c>
      <c r="L104" s="30">
        <v>1</v>
      </c>
      <c r="M104" t="e">
        <f t="shared" si="8"/>
        <v>#DIV/0!</v>
      </c>
      <c r="N104" t="e">
        <f t="shared" si="5"/>
        <v>#DIV/0!</v>
      </c>
      <c r="O104" t="e">
        <f t="shared" si="6"/>
        <v>#DIV/0!</v>
      </c>
      <c r="P104" t="e">
        <f t="shared" si="7"/>
        <v>#NUM!</v>
      </c>
    </row>
    <row r="105" spans="1:16" x14ac:dyDescent="0.25">
      <c r="A105" s="19"/>
      <c r="B105" s="16"/>
      <c r="C105" s="27"/>
      <c r="D105">
        <v>2021</v>
      </c>
      <c r="E105">
        <v>0</v>
      </c>
      <c r="F105" s="10"/>
      <c r="G105" s="10"/>
      <c r="H105" s="10"/>
      <c r="I105" s="10"/>
      <c r="J105" s="10"/>
      <c r="K105" s="30">
        <v>1</v>
      </c>
      <c r="L105" s="30">
        <v>1</v>
      </c>
      <c r="M105" t="e">
        <f t="shared" si="8"/>
        <v>#DIV/0!</v>
      </c>
      <c r="N105" t="e">
        <f t="shared" si="5"/>
        <v>#DIV/0!</v>
      </c>
      <c r="O105" t="e">
        <f t="shared" si="6"/>
        <v>#DIV/0!</v>
      </c>
      <c r="P105" t="e">
        <f t="shared" si="7"/>
        <v>#NUM!</v>
      </c>
    </row>
    <row r="106" spans="1:16" x14ac:dyDescent="0.25">
      <c r="A106" s="19"/>
      <c r="B106" s="16"/>
      <c r="C106" s="27"/>
      <c r="D106">
        <v>2022</v>
      </c>
      <c r="E106">
        <v>0</v>
      </c>
      <c r="F106" s="10"/>
      <c r="G106" s="10"/>
      <c r="H106" s="10"/>
      <c r="I106" s="10"/>
      <c r="J106" s="10"/>
      <c r="K106" s="30">
        <v>1</v>
      </c>
      <c r="L106" s="30">
        <v>1</v>
      </c>
      <c r="M106" t="e">
        <f t="shared" si="8"/>
        <v>#DIV/0!</v>
      </c>
      <c r="N106" t="e">
        <f t="shared" si="5"/>
        <v>#DIV/0!</v>
      </c>
      <c r="O106" t="e">
        <f t="shared" si="6"/>
        <v>#DIV/0!</v>
      </c>
      <c r="P106" t="e">
        <f t="shared" si="7"/>
        <v>#NUM!</v>
      </c>
    </row>
    <row r="107" spans="1:16" x14ac:dyDescent="0.25">
      <c r="A107" s="19"/>
      <c r="B107" s="16"/>
      <c r="C107" s="27"/>
      <c r="D107" s="1">
        <v>2023</v>
      </c>
      <c r="E107" s="1">
        <v>0</v>
      </c>
      <c r="F107" s="12"/>
      <c r="G107" s="12"/>
      <c r="H107" s="12"/>
      <c r="I107" s="12"/>
      <c r="J107" s="12"/>
      <c r="K107" s="30">
        <v>1</v>
      </c>
      <c r="L107" s="30">
        <v>1</v>
      </c>
      <c r="M107" t="e">
        <f t="shared" si="8"/>
        <v>#DIV/0!</v>
      </c>
      <c r="N107" t="e">
        <f t="shared" si="5"/>
        <v>#DIV/0!</v>
      </c>
      <c r="O107" t="e">
        <f t="shared" si="6"/>
        <v>#DIV/0!</v>
      </c>
      <c r="P107" t="e">
        <f t="shared" si="7"/>
        <v>#NUM!</v>
      </c>
    </row>
    <row r="108" spans="1:16" x14ac:dyDescent="0.25">
      <c r="A108" s="19"/>
      <c r="B108" s="16"/>
      <c r="C108" s="27" t="s">
        <v>38</v>
      </c>
      <c r="D108">
        <v>2019</v>
      </c>
      <c r="E108">
        <v>0</v>
      </c>
      <c r="F108" s="10"/>
      <c r="G108" s="10"/>
      <c r="H108" s="10"/>
      <c r="I108" s="10"/>
      <c r="J108" s="10"/>
      <c r="K108" s="30">
        <v>0</v>
      </c>
      <c r="L108" s="30">
        <v>0</v>
      </c>
      <c r="M108" t="e">
        <f t="shared" si="8"/>
        <v>#DIV/0!</v>
      </c>
      <c r="N108" t="e">
        <f t="shared" si="5"/>
        <v>#DIV/0!</v>
      </c>
      <c r="O108" t="e">
        <f t="shared" si="6"/>
        <v>#DIV/0!</v>
      </c>
      <c r="P108" t="e">
        <f t="shared" si="7"/>
        <v>#NUM!</v>
      </c>
    </row>
    <row r="109" spans="1:16" x14ac:dyDescent="0.25">
      <c r="A109" s="19"/>
      <c r="B109" s="16"/>
      <c r="C109" s="27"/>
      <c r="D109">
        <v>2020</v>
      </c>
      <c r="E109">
        <v>0</v>
      </c>
      <c r="F109" s="10"/>
      <c r="G109" s="10"/>
      <c r="H109" s="10"/>
      <c r="I109" s="10"/>
      <c r="J109" s="10"/>
      <c r="K109" s="30">
        <v>0</v>
      </c>
      <c r="L109" s="30">
        <v>0</v>
      </c>
      <c r="M109" t="e">
        <f t="shared" si="8"/>
        <v>#DIV/0!</v>
      </c>
      <c r="N109" t="e">
        <f t="shared" si="5"/>
        <v>#DIV/0!</v>
      </c>
      <c r="O109" t="e">
        <f t="shared" si="6"/>
        <v>#DIV/0!</v>
      </c>
      <c r="P109" t="e">
        <f t="shared" si="7"/>
        <v>#NUM!</v>
      </c>
    </row>
    <row r="110" spans="1:16" x14ac:dyDescent="0.25">
      <c r="A110" s="19"/>
      <c r="B110" s="16"/>
      <c r="C110" s="27"/>
      <c r="D110">
        <v>2021</v>
      </c>
      <c r="E110">
        <v>0</v>
      </c>
      <c r="F110" s="10"/>
      <c r="G110" s="10"/>
      <c r="H110" s="10"/>
      <c r="I110" s="10"/>
      <c r="J110" s="10"/>
      <c r="K110" s="30">
        <v>0</v>
      </c>
      <c r="L110" s="30">
        <v>1</v>
      </c>
      <c r="M110" t="e">
        <f t="shared" si="8"/>
        <v>#DIV/0!</v>
      </c>
      <c r="N110" t="e">
        <f t="shared" si="5"/>
        <v>#DIV/0!</v>
      </c>
      <c r="O110" t="e">
        <f t="shared" si="6"/>
        <v>#DIV/0!</v>
      </c>
      <c r="P110" t="e">
        <f t="shared" si="7"/>
        <v>#NUM!</v>
      </c>
    </row>
    <row r="111" spans="1:16" x14ac:dyDescent="0.25">
      <c r="A111" s="19"/>
      <c r="B111" s="16"/>
      <c r="C111" s="27"/>
      <c r="D111">
        <v>2022</v>
      </c>
      <c r="E111">
        <v>0</v>
      </c>
      <c r="F111" s="10"/>
      <c r="G111" s="10"/>
      <c r="H111" s="10"/>
      <c r="I111" s="10"/>
      <c r="J111" s="10"/>
      <c r="K111" s="30">
        <v>1</v>
      </c>
      <c r="L111" s="30">
        <v>1</v>
      </c>
      <c r="M111" t="e">
        <f t="shared" si="8"/>
        <v>#DIV/0!</v>
      </c>
      <c r="N111" t="e">
        <f t="shared" si="5"/>
        <v>#DIV/0!</v>
      </c>
      <c r="O111" t="e">
        <f t="shared" si="6"/>
        <v>#DIV/0!</v>
      </c>
      <c r="P111" t="e">
        <f t="shared" si="7"/>
        <v>#NUM!</v>
      </c>
    </row>
    <row r="112" spans="1:16" x14ac:dyDescent="0.25">
      <c r="A112" s="19"/>
      <c r="B112" s="16"/>
      <c r="C112" s="27"/>
      <c r="D112" s="1">
        <v>2023</v>
      </c>
      <c r="E112" s="1">
        <v>0</v>
      </c>
      <c r="F112" s="12"/>
      <c r="G112" s="12"/>
      <c r="H112" s="12"/>
      <c r="I112" s="12"/>
      <c r="J112" s="12"/>
      <c r="K112" s="30">
        <v>1</v>
      </c>
      <c r="L112" s="30">
        <v>1</v>
      </c>
      <c r="M112" t="e">
        <f t="shared" si="8"/>
        <v>#DIV/0!</v>
      </c>
      <c r="N112" t="e">
        <f t="shared" si="5"/>
        <v>#DIV/0!</v>
      </c>
      <c r="O112" t="e">
        <f t="shared" si="6"/>
        <v>#DIV/0!</v>
      </c>
      <c r="P112" t="e">
        <f t="shared" si="7"/>
        <v>#NUM!</v>
      </c>
    </row>
    <row r="113" spans="1:16" x14ac:dyDescent="0.25">
      <c r="A113" s="19"/>
      <c r="B113" s="16"/>
      <c r="C113" s="27" t="s">
        <v>39</v>
      </c>
      <c r="D113">
        <v>2019</v>
      </c>
      <c r="E113">
        <v>0</v>
      </c>
      <c r="F113" s="10"/>
      <c r="G113" s="10"/>
      <c r="H113" s="10"/>
      <c r="I113" s="10"/>
      <c r="J113" s="10"/>
      <c r="K113" s="30">
        <v>1</v>
      </c>
      <c r="L113" s="30">
        <v>1</v>
      </c>
      <c r="M113" t="e">
        <f t="shared" si="8"/>
        <v>#DIV/0!</v>
      </c>
      <c r="N113" t="e">
        <f t="shared" si="5"/>
        <v>#DIV/0!</v>
      </c>
      <c r="O113" t="e">
        <f t="shared" si="6"/>
        <v>#DIV/0!</v>
      </c>
      <c r="P113" t="e">
        <f t="shared" si="7"/>
        <v>#NUM!</v>
      </c>
    </row>
    <row r="114" spans="1:16" x14ac:dyDescent="0.25">
      <c r="A114" s="19"/>
      <c r="B114" s="16"/>
      <c r="C114" s="27"/>
      <c r="D114">
        <v>2020</v>
      </c>
      <c r="E114">
        <v>0</v>
      </c>
      <c r="F114" s="10"/>
      <c r="G114" s="10"/>
      <c r="H114" s="10"/>
      <c r="I114" s="10"/>
      <c r="J114" s="10"/>
      <c r="K114" s="30">
        <v>1</v>
      </c>
      <c r="L114" s="30">
        <v>1</v>
      </c>
      <c r="M114" t="e">
        <f t="shared" si="8"/>
        <v>#DIV/0!</v>
      </c>
      <c r="N114" t="e">
        <f t="shared" si="5"/>
        <v>#DIV/0!</v>
      </c>
      <c r="O114" t="e">
        <f t="shared" si="6"/>
        <v>#DIV/0!</v>
      </c>
      <c r="P114" t="e">
        <f t="shared" si="7"/>
        <v>#NUM!</v>
      </c>
    </row>
    <row r="115" spans="1:16" x14ac:dyDescent="0.25">
      <c r="A115" s="19"/>
      <c r="B115" s="16"/>
      <c r="C115" s="27"/>
      <c r="D115">
        <v>2021</v>
      </c>
      <c r="E115">
        <v>0</v>
      </c>
      <c r="F115" s="10"/>
      <c r="G115" s="10"/>
      <c r="H115" s="10"/>
      <c r="I115" s="10"/>
      <c r="J115" s="10"/>
      <c r="K115" s="30">
        <v>1</v>
      </c>
      <c r="L115" s="30">
        <v>1</v>
      </c>
      <c r="M115" t="e">
        <f t="shared" si="8"/>
        <v>#DIV/0!</v>
      </c>
      <c r="N115" t="e">
        <f t="shared" si="5"/>
        <v>#DIV/0!</v>
      </c>
      <c r="O115" t="e">
        <f t="shared" si="6"/>
        <v>#DIV/0!</v>
      </c>
      <c r="P115" t="e">
        <f t="shared" si="7"/>
        <v>#NUM!</v>
      </c>
    </row>
    <row r="116" spans="1:16" x14ac:dyDescent="0.25">
      <c r="A116" s="19"/>
      <c r="B116" s="16"/>
      <c r="C116" s="27"/>
      <c r="D116">
        <v>2022</v>
      </c>
      <c r="E116">
        <v>0</v>
      </c>
      <c r="F116" s="10"/>
      <c r="G116" s="10"/>
      <c r="H116" s="10"/>
      <c r="I116" s="10"/>
      <c r="J116" s="10"/>
      <c r="K116" s="30">
        <v>1</v>
      </c>
      <c r="L116" s="30">
        <v>1</v>
      </c>
      <c r="M116" t="e">
        <f t="shared" si="8"/>
        <v>#DIV/0!</v>
      </c>
      <c r="N116" t="e">
        <f t="shared" si="5"/>
        <v>#DIV/0!</v>
      </c>
      <c r="O116" t="e">
        <f t="shared" si="6"/>
        <v>#DIV/0!</v>
      </c>
      <c r="P116" t="e">
        <f t="shared" si="7"/>
        <v>#NUM!</v>
      </c>
    </row>
    <row r="117" spans="1:16" x14ac:dyDescent="0.25">
      <c r="A117" s="19"/>
      <c r="B117" s="16"/>
      <c r="C117" s="27"/>
      <c r="D117" s="1">
        <v>2023</v>
      </c>
      <c r="E117" s="1">
        <v>0</v>
      </c>
      <c r="F117" s="12"/>
      <c r="G117" s="12"/>
      <c r="H117" s="12"/>
      <c r="I117" s="12"/>
      <c r="J117" s="12"/>
      <c r="K117" s="30">
        <v>1</v>
      </c>
      <c r="L117" s="30">
        <v>1</v>
      </c>
      <c r="M117" t="e">
        <f t="shared" si="8"/>
        <v>#DIV/0!</v>
      </c>
      <c r="N117" t="e">
        <f t="shared" si="5"/>
        <v>#DIV/0!</v>
      </c>
      <c r="O117" t="e">
        <f t="shared" si="6"/>
        <v>#DIV/0!</v>
      </c>
      <c r="P117" t="e">
        <f t="shared" si="7"/>
        <v>#NUM!</v>
      </c>
    </row>
    <row r="118" spans="1:16" x14ac:dyDescent="0.25">
      <c r="A118" s="19"/>
      <c r="B118" s="16"/>
      <c r="C118" s="27" t="s">
        <v>40</v>
      </c>
      <c r="D118">
        <v>2019</v>
      </c>
      <c r="E118">
        <v>0</v>
      </c>
      <c r="F118" s="10"/>
      <c r="G118" s="10"/>
      <c r="H118" s="10"/>
      <c r="I118" s="10"/>
      <c r="J118" s="10"/>
      <c r="K118" s="30">
        <v>1</v>
      </c>
      <c r="L118" s="30">
        <v>1</v>
      </c>
      <c r="M118" t="e">
        <f t="shared" si="8"/>
        <v>#DIV/0!</v>
      </c>
      <c r="N118" t="e">
        <f t="shared" si="5"/>
        <v>#DIV/0!</v>
      </c>
      <c r="O118" t="e">
        <f t="shared" si="6"/>
        <v>#DIV/0!</v>
      </c>
      <c r="P118" t="e">
        <f t="shared" si="7"/>
        <v>#NUM!</v>
      </c>
    </row>
    <row r="119" spans="1:16" x14ac:dyDescent="0.25">
      <c r="A119" s="19"/>
      <c r="B119" s="16"/>
      <c r="C119" s="27"/>
      <c r="D119">
        <v>2020</v>
      </c>
      <c r="E119">
        <v>0</v>
      </c>
      <c r="F119" s="10"/>
      <c r="G119" s="10"/>
      <c r="H119" s="10"/>
      <c r="I119" s="10"/>
      <c r="J119" s="10"/>
      <c r="K119" s="30">
        <v>1</v>
      </c>
      <c r="L119" s="30">
        <v>1</v>
      </c>
      <c r="M119" t="e">
        <f t="shared" si="8"/>
        <v>#DIV/0!</v>
      </c>
      <c r="N119" t="e">
        <f t="shared" si="5"/>
        <v>#DIV/0!</v>
      </c>
      <c r="O119" t="e">
        <f t="shared" si="6"/>
        <v>#DIV/0!</v>
      </c>
      <c r="P119" t="e">
        <f t="shared" si="7"/>
        <v>#NUM!</v>
      </c>
    </row>
    <row r="120" spans="1:16" x14ac:dyDescent="0.25">
      <c r="A120" s="19"/>
      <c r="B120" s="16"/>
      <c r="C120" s="27"/>
      <c r="D120">
        <v>2021</v>
      </c>
      <c r="E120">
        <v>0</v>
      </c>
      <c r="F120" s="10"/>
      <c r="G120" s="10"/>
      <c r="H120" s="10"/>
      <c r="I120" s="10"/>
      <c r="J120" s="10"/>
      <c r="K120" s="30">
        <v>1</v>
      </c>
      <c r="L120" s="30">
        <v>1</v>
      </c>
      <c r="M120" t="e">
        <f t="shared" si="8"/>
        <v>#DIV/0!</v>
      </c>
      <c r="N120" t="e">
        <f t="shared" si="5"/>
        <v>#DIV/0!</v>
      </c>
      <c r="O120" t="e">
        <f t="shared" si="6"/>
        <v>#DIV/0!</v>
      </c>
      <c r="P120" t="e">
        <f t="shared" si="7"/>
        <v>#NUM!</v>
      </c>
    </row>
    <row r="121" spans="1:16" x14ac:dyDescent="0.25">
      <c r="A121" s="19"/>
      <c r="B121" s="16"/>
      <c r="C121" s="27"/>
      <c r="D121">
        <v>2022</v>
      </c>
      <c r="E121">
        <v>0</v>
      </c>
      <c r="F121" s="10"/>
      <c r="G121" s="10"/>
      <c r="H121" s="10"/>
      <c r="I121" s="10"/>
      <c r="J121" s="10"/>
      <c r="K121" s="30">
        <v>1</v>
      </c>
      <c r="L121" s="30">
        <v>1</v>
      </c>
      <c r="M121" t="e">
        <f t="shared" si="8"/>
        <v>#DIV/0!</v>
      </c>
      <c r="N121" t="e">
        <f t="shared" si="5"/>
        <v>#DIV/0!</v>
      </c>
      <c r="O121" t="e">
        <f t="shared" si="6"/>
        <v>#DIV/0!</v>
      </c>
      <c r="P121" t="e">
        <f t="shared" si="7"/>
        <v>#NUM!</v>
      </c>
    </row>
    <row r="122" spans="1:16" x14ac:dyDescent="0.25">
      <c r="A122" s="19"/>
      <c r="B122" s="16"/>
      <c r="C122" s="27"/>
      <c r="D122" s="1">
        <v>2023</v>
      </c>
      <c r="E122" s="1">
        <v>0</v>
      </c>
      <c r="F122" s="12"/>
      <c r="G122" s="12"/>
      <c r="H122" s="12"/>
      <c r="I122" s="12"/>
      <c r="J122" s="12"/>
      <c r="K122" s="30">
        <v>1</v>
      </c>
      <c r="L122" s="30">
        <v>1</v>
      </c>
      <c r="M122" t="e">
        <f t="shared" si="8"/>
        <v>#DIV/0!</v>
      </c>
      <c r="N122" t="e">
        <f t="shared" si="5"/>
        <v>#DIV/0!</v>
      </c>
      <c r="O122" t="e">
        <f t="shared" si="6"/>
        <v>#DIV/0!</v>
      </c>
      <c r="P122" t="e">
        <f t="shared" si="7"/>
        <v>#NUM!</v>
      </c>
    </row>
    <row r="123" spans="1:16" x14ac:dyDescent="0.25">
      <c r="A123" s="19"/>
      <c r="B123" s="16"/>
      <c r="C123" s="27" t="s">
        <v>41</v>
      </c>
      <c r="D123">
        <v>2019</v>
      </c>
      <c r="E123">
        <v>0</v>
      </c>
      <c r="F123" s="10"/>
      <c r="G123" s="10"/>
      <c r="H123" s="10"/>
      <c r="I123" s="10"/>
      <c r="J123" s="10"/>
      <c r="K123" s="30">
        <v>1</v>
      </c>
      <c r="L123" s="30">
        <v>1</v>
      </c>
      <c r="M123" t="e">
        <f t="shared" si="8"/>
        <v>#DIV/0!</v>
      </c>
      <c r="N123" t="e">
        <f t="shared" si="5"/>
        <v>#DIV/0!</v>
      </c>
      <c r="O123" t="e">
        <f t="shared" si="6"/>
        <v>#DIV/0!</v>
      </c>
      <c r="P123" t="e">
        <f t="shared" si="7"/>
        <v>#NUM!</v>
      </c>
    </row>
    <row r="124" spans="1:16" x14ac:dyDescent="0.25">
      <c r="A124" s="19"/>
      <c r="B124" s="16"/>
      <c r="C124" s="27"/>
      <c r="D124">
        <v>2020</v>
      </c>
      <c r="E124">
        <v>0</v>
      </c>
      <c r="F124" s="10"/>
      <c r="G124" s="10"/>
      <c r="H124" s="10"/>
      <c r="I124" s="10"/>
      <c r="J124" s="10"/>
      <c r="K124" s="30">
        <v>1</v>
      </c>
      <c r="L124" s="30">
        <v>1</v>
      </c>
      <c r="M124" t="e">
        <f t="shared" si="8"/>
        <v>#DIV/0!</v>
      </c>
      <c r="N124" t="e">
        <f t="shared" si="5"/>
        <v>#DIV/0!</v>
      </c>
      <c r="O124" t="e">
        <f t="shared" si="6"/>
        <v>#DIV/0!</v>
      </c>
      <c r="P124" t="e">
        <f t="shared" si="7"/>
        <v>#NUM!</v>
      </c>
    </row>
    <row r="125" spans="1:16" x14ac:dyDescent="0.25">
      <c r="A125" s="19"/>
      <c r="B125" s="16"/>
      <c r="C125" s="27"/>
      <c r="D125">
        <v>2021</v>
      </c>
      <c r="E125">
        <v>0</v>
      </c>
      <c r="F125" s="10"/>
      <c r="G125" s="10"/>
      <c r="H125" s="10"/>
      <c r="I125" s="10"/>
      <c r="J125" s="10"/>
      <c r="K125" s="30">
        <v>1</v>
      </c>
      <c r="L125" s="30">
        <v>1</v>
      </c>
      <c r="M125" t="e">
        <f t="shared" si="8"/>
        <v>#DIV/0!</v>
      </c>
      <c r="N125" t="e">
        <f t="shared" si="5"/>
        <v>#DIV/0!</v>
      </c>
      <c r="O125" t="e">
        <f t="shared" si="6"/>
        <v>#DIV/0!</v>
      </c>
      <c r="P125" t="e">
        <f t="shared" si="7"/>
        <v>#NUM!</v>
      </c>
    </row>
    <row r="126" spans="1:16" x14ac:dyDescent="0.25">
      <c r="A126" s="19"/>
      <c r="B126" s="16"/>
      <c r="C126" s="27"/>
      <c r="D126">
        <v>2022</v>
      </c>
      <c r="E126">
        <v>0</v>
      </c>
      <c r="F126" s="10"/>
      <c r="G126" s="10"/>
      <c r="H126" s="10"/>
      <c r="I126" s="10"/>
      <c r="J126" s="10"/>
      <c r="K126" s="30">
        <v>1</v>
      </c>
      <c r="L126" s="30">
        <v>1</v>
      </c>
      <c r="M126" t="e">
        <f t="shared" si="8"/>
        <v>#DIV/0!</v>
      </c>
      <c r="N126" t="e">
        <f t="shared" si="5"/>
        <v>#DIV/0!</v>
      </c>
      <c r="O126" t="e">
        <f t="shared" si="6"/>
        <v>#DIV/0!</v>
      </c>
      <c r="P126" t="e">
        <f t="shared" si="7"/>
        <v>#NUM!</v>
      </c>
    </row>
    <row r="127" spans="1:16" x14ac:dyDescent="0.25">
      <c r="A127" s="19"/>
      <c r="B127" s="16"/>
      <c r="C127" s="27"/>
      <c r="D127" s="1">
        <v>2023</v>
      </c>
      <c r="E127" s="1">
        <v>0</v>
      </c>
      <c r="F127" s="12"/>
      <c r="G127" s="12"/>
      <c r="H127" s="12"/>
      <c r="I127" s="12"/>
      <c r="J127" s="12"/>
      <c r="K127" s="30">
        <v>1</v>
      </c>
      <c r="L127" s="30">
        <v>1</v>
      </c>
      <c r="M127" t="e">
        <f t="shared" si="8"/>
        <v>#DIV/0!</v>
      </c>
      <c r="N127" t="e">
        <f t="shared" si="5"/>
        <v>#DIV/0!</v>
      </c>
      <c r="O127" t="e">
        <f t="shared" si="6"/>
        <v>#DIV/0!</v>
      </c>
      <c r="P127" t="e">
        <f t="shared" si="7"/>
        <v>#NUM!</v>
      </c>
    </row>
    <row r="128" spans="1:16" x14ac:dyDescent="0.25">
      <c r="A128" s="19"/>
      <c r="B128" s="16"/>
      <c r="C128" s="27" t="s">
        <v>42</v>
      </c>
      <c r="D128">
        <v>2019</v>
      </c>
      <c r="E128">
        <v>0</v>
      </c>
      <c r="F128" s="10"/>
      <c r="G128" s="10"/>
      <c r="H128" s="10"/>
      <c r="I128" s="10"/>
      <c r="J128" s="10"/>
      <c r="K128" s="30">
        <v>1</v>
      </c>
      <c r="L128" s="30">
        <v>1</v>
      </c>
      <c r="M128" t="e">
        <f t="shared" si="8"/>
        <v>#DIV/0!</v>
      </c>
      <c r="N128" t="e">
        <f t="shared" si="5"/>
        <v>#DIV/0!</v>
      </c>
      <c r="O128" t="e">
        <f t="shared" si="6"/>
        <v>#DIV/0!</v>
      </c>
      <c r="P128" t="e">
        <f t="shared" si="7"/>
        <v>#NUM!</v>
      </c>
    </row>
    <row r="129" spans="1:16" x14ac:dyDescent="0.25">
      <c r="A129" s="19"/>
      <c r="B129" s="16"/>
      <c r="C129" s="27"/>
      <c r="D129">
        <v>2020</v>
      </c>
      <c r="E129">
        <v>0</v>
      </c>
      <c r="F129" s="10"/>
      <c r="G129" s="10"/>
      <c r="H129" s="10"/>
      <c r="I129" s="10"/>
      <c r="J129" s="10"/>
      <c r="K129" s="30">
        <v>1</v>
      </c>
      <c r="L129" s="30">
        <v>1</v>
      </c>
      <c r="M129" t="e">
        <f t="shared" si="8"/>
        <v>#DIV/0!</v>
      </c>
      <c r="N129" t="e">
        <f t="shared" si="5"/>
        <v>#DIV/0!</v>
      </c>
      <c r="O129" t="e">
        <f t="shared" si="6"/>
        <v>#DIV/0!</v>
      </c>
      <c r="P129" t="e">
        <f t="shared" si="7"/>
        <v>#NUM!</v>
      </c>
    </row>
    <row r="130" spans="1:16" x14ac:dyDescent="0.25">
      <c r="A130" s="19"/>
      <c r="B130" s="16"/>
      <c r="C130" s="27"/>
      <c r="D130">
        <v>2021</v>
      </c>
      <c r="E130">
        <v>0</v>
      </c>
      <c r="F130" s="10"/>
      <c r="G130" s="10"/>
      <c r="H130" s="10"/>
      <c r="I130" s="10"/>
      <c r="J130" s="10"/>
      <c r="K130" s="30">
        <v>1</v>
      </c>
      <c r="L130" s="30">
        <v>1</v>
      </c>
      <c r="M130" t="e">
        <f t="shared" si="8"/>
        <v>#DIV/0!</v>
      </c>
      <c r="N130" t="e">
        <f t="shared" si="5"/>
        <v>#DIV/0!</v>
      </c>
      <c r="O130" t="e">
        <f t="shared" si="6"/>
        <v>#DIV/0!</v>
      </c>
      <c r="P130" t="e">
        <f t="shared" si="7"/>
        <v>#NUM!</v>
      </c>
    </row>
    <row r="131" spans="1:16" x14ac:dyDescent="0.25">
      <c r="A131" s="19"/>
      <c r="B131" s="16"/>
      <c r="C131" s="27"/>
      <c r="D131">
        <v>2022</v>
      </c>
      <c r="E131">
        <v>0</v>
      </c>
      <c r="F131" s="10"/>
      <c r="G131" s="10"/>
      <c r="H131" s="10"/>
      <c r="I131" s="10"/>
      <c r="J131" s="10"/>
      <c r="K131" s="30">
        <v>1</v>
      </c>
      <c r="L131" s="30">
        <v>1</v>
      </c>
      <c r="M131" t="e">
        <f t="shared" si="8"/>
        <v>#DIV/0!</v>
      </c>
      <c r="N131" t="e">
        <f t="shared" si="5"/>
        <v>#DIV/0!</v>
      </c>
      <c r="O131" t="e">
        <f t="shared" si="6"/>
        <v>#DIV/0!</v>
      </c>
      <c r="P131" t="e">
        <f t="shared" si="7"/>
        <v>#NUM!</v>
      </c>
    </row>
    <row r="132" spans="1:16" x14ac:dyDescent="0.25">
      <c r="A132" s="19"/>
      <c r="B132" s="16"/>
      <c r="C132" s="27"/>
      <c r="D132" s="1">
        <v>2023</v>
      </c>
      <c r="E132" s="1">
        <v>0</v>
      </c>
      <c r="F132" s="12"/>
      <c r="G132" s="12"/>
      <c r="H132" s="12"/>
      <c r="I132" s="12"/>
      <c r="J132" s="12"/>
      <c r="K132" s="30">
        <v>1</v>
      </c>
      <c r="L132" s="30">
        <v>1</v>
      </c>
      <c r="M132" t="e">
        <f t="shared" si="8"/>
        <v>#DIV/0!</v>
      </c>
      <c r="N132" t="e">
        <f t="shared" ref="N132:N152" si="9">J132/H132</f>
        <v>#DIV/0!</v>
      </c>
      <c r="O132" t="e">
        <f t="shared" ref="O132:O152" si="10">F132/I132</f>
        <v>#DIV/0!</v>
      </c>
      <c r="P132" t="e">
        <f t="shared" ref="P132:P152" si="11">LN(H132)</f>
        <v>#NUM!</v>
      </c>
    </row>
    <row r="133" spans="1:16" x14ac:dyDescent="0.25">
      <c r="A133" s="19"/>
      <c r="B133" s="16"/>
      <c r="C133" s="27" t="s">
        <v>43</v>
      </c>
      <c r="D133">
        <v>2019</v>
      </c>
      <c r="E133">
        <v>0</v>
      </c>
      <c r="F133" s="10"/>
      <c r="G133" s="10"/>
      <c r="H133" s="10"/>
      <c r="I133" s="10"/>
      <c r="J133" s="10"/>
      <c r="K133" s="30">
        <v>1</v>
      </c>
      <c r="L133" s="30">
        <v>1</v>
      </c>
      <c r="M133" t="e">
        <f t="shared" si="8"/>
        <v>#DIV/0!</v>
      </c>
      <c r="N133" t="e">
        <f t="shared" si="9"/>
        <v>#DIV/0!</v>
      </c>
      <c r="O133" t="e">
        <f t="shared" si="10"/>
        <v>#DIV/0!</v>
      </c>
      <c r="P133" t="e">
        <f t="shared" si="11"/>
        <v>#NUM!</v>
      </c>
    </row>
    <row r="134" spans="1:16" x14ac:dyDescent="0.25">
      <c r="A134" s="19"/>
      <c r="B134" s="16"/>
      <c r="C134" s="27"/>
      <c r="D134">
        <v>2020</v>
      </c>
      <c r="E134">
        <v>0</v>
      </c>
      <c r="F134" s="10"/>
      <c r="G134" s="10"/>
      <c r="H134" s="10"/>
      <c r="I134" s="10"/>
      <c r="J134" s="10"/>
      <c r="K134" s="30">
        <v>1</v>
      </c>
      <c r="L134" s="30">
        <v>1</v>
      </c>
      <c r="M134" t="e">
        <f t="shared" si="8"/>
        <v>#DIV/0!</v>
      </c>
      <c r="N134" t="e">
        <f t="shared" si="9"/>
        <v>#DIV/0!</v>
      </c>
      <c r="O134" t="e">
        <f t="shared" si="10"/>
        <v>#DIV/0!</v>
      </c>
      <c r="P134" t="e">
        <f t="shared" si="11"/>
        <v>#NUM!</v>
      </c>
    </row>
    <row r="135" spans="1:16" x14ac:dyDescent="0.25">
      <c r="A135" s="19"/>
      <c r="B135" s="16"/>
      <c r="C135" s="27"/>
      <c r="D135">
        <v>2021</v>
      </c>
      <c r="E135">
        <v>0</v>
      </c>
      <c r="F135" s="10"/>
      <c r="G135" s="10"/>
      <c r="H135" s="10"/>
      <c r="I135" s="10"/>
      <c r="J135" s="10"/>
      <c r="K135" s="30">
        <v>1</v>
      </c>
      <c r="L135" s="30">
        <v>1</v>
      </c>
      <c r="M135" t="e">
        <f t="shared" si="8"/>
        <v>#DIV/0!</v>
      </c>
      <c r="N135" t="e">
        <f t="shared" si="9"/>
        <v>#DIV/0!</v>
      </c>
      <c r="O135" t="e">
        <f t="shared" si="10"/>
        <v>#DIV/0!</v>
      </c>
      <c r="P135" t="e">
        <f t="shared" si="11"/>
        <v>#NUM!</v>
      </c>
    </row>
    <row r="136" spans="1:16" x14ac:dyDescent="0.25">
      <c r="A136" s="19"/>
      <c r="B136" s="16"/>
      <c r="C136" s="27"/>
      <c r="D136">
        <v>2022</v>
      </c>
      <c r="E136">
        <v>0</v>
      </c>
      <c r="F136" s="10"/>
      <c r="G136" s="10"/>
      <c r="H136" s="10"/>
      <c r="I136" s="10"/>
      <c r="J136" s="10"/>
      <c r="K136" s="30">
        <v>1</v>
      </c>
      <c r="L136" s="30">
        <v>1</v>
      </c>
      <c r="M136" t="e">
        <f t="shared" si="8"/>
        <v>#DIV/0!</v>
      </c>
      <c r="N136" t="e">
        <f t="shared" si="9"/>
        <v>#DIV/0!</v>
      </c>
      <c r="O136" t="e">
        <f t="shared" si="10"/>
        <v>#DIV/0!</v>
      </c>
      <c r="P136" t="e">
        <f t="shared" si="11"/>
        <v>#NUM!</v>
      </c>
    </row>
    <row r="137" spans="1:16" x14ac:dyDescent="0.25">
      <c r="A137" s="19"/>
      <c r="B137" s="16"/>
      <c r="C137" s="27"/>
      <c r="D137" s="1">
        <v>2023</v>
      </c>
      <c r="E137" s="1">
        <v>0</v>
      </c>
      <c r="F137" s="12"/>
      <c r="G137" s="12"/>
      <c r="H137" s="12"/>
      <c r="I137" s="12"/>
      <c r="J137" s="12"/>
      <c r="K137" s="30">
        <v>1</v>
      </c>
      <c r="L137" s="30">
        <v>1</v>
      </c>
      <c r="M137" t="e">
        <f t="shared" ref="M137:M152" si="12">ABS(G137)/F137</f>
        <v>#DIV/0!</v>
      </c>
      <c r="N137" t="e">
        <f t="shared" si="9"/>
        <v>#DIV/0!</v>
      </c>
      <c r="O137" t="e">
        <f t="shared" si="10"/>
        <v>#DIV/0!</v>
      </c>
      <c r="P137" t="e">
        <f t="shared" si="11"/>
        <v>#NUM!</v>
      </c>
    </row>
    <row r="138" spans="1:16" x14ac:dyDescent="0.25">
      <c r="A138" s="19"/>
      <c r="B138" s="16"/>
      <c r="C138" s="27" t="s">
        <v>44</v>
      </c>
      <c r="D138">
        <v>2019</v>
      </c>
      <c r="E138">
        <v>0</v>
      </c>
      <c r="F138" s="10"/>
      <c r="G138" s="10"/>
      <c r="H138" s="10"/>
      <c r="I138" s="10"/>
      <c r="J138" s="10"/>
      <c r="K138" s="30">
        <v>1</v>
      </c>
      <c r="L138" s="30">
        <v>1</v>
      </c>
      <c r="M138" t="e">
        <f t="shared" si="12"/>
        <v>#DIV/0!</v>
      </c>
      <c r="N138" t="e">
        <f t="shared" si="9"/>
        <v>#DIV/0!</v>
      </c>
      <c r="O138" t="e">
        <f t="shared" si="10"/>
        <v>#DIV/0!</v>
      </c>
      <c r="P138" t="e">
        <f t="shared" si="11"/>
        <v>#NUM!</v>
      </c>
    </row>
    <row r="139" spans="1:16" x14ac:dyDescent="0.25">
      <c r="A139" s="19"/>
      <c r="B139" s="16"/>
      <c r="C139" s="27"/>
      <c r="D139">
        <v>2020</v>
      </c>
      <c r="E139">
        <v>0</v>
      </c>
      <c r="F139" s="10"/>
      <c r="G139" s="10"/>
      <c r="H139" s="10"/>
      <c r="I139" s="10"/>
      <c r="J139" s="10"/>
      <c r="K139" s="30">
        <v>1</v>
      </c>
      <c r="L139" s="30">
        <v>1</v>
      </c>
      <c r="M139" t="e">
        <f t="shared" si="12"/>
        <v>#DIV/0!</v>
      </c>
      <c r="N139" t="e">
        <f t="shared" si="9"/>
        <v>#DIV/0!</v>
      </c>
      <c r="O139" t="e">
        <f t="shared" si="10"/>
        <v>#DIV/0!</v>
      </c>
      <c r="P139" t="e">
        <f t="shared" si="11"/>
        <v>#NUM!</v>
      </c>
    </row>
    <row r="140" spans="1:16" x14ac:dyDescent="0.25">
      <c r="A140" s="19"/>
      <c r="B140" s="16"/>
      <c r="C140" s="27"/>
      <c r="D140">
        <v>2021</v>
      </c>
      <c r="E140">
        <v>0</v>
      </c>
      <c r="F140" s="10"/>
      <c r="G140" s="10"/>
      <c r="H140" s="10"/>
      <c r="I140" s="10"/>
      <c r="J140" s="10"/>
      <c r="K140" s="30">
        <v>1</v>
      </c>
      <c r="L140" s="30">
        <v>1</v>
      </c>
      <c r="M140" t="e">
        <f t="shared" si="12"/>
        <v>#DIV/0!</v>
      </c>
      <c r="N140" t="e">
        <f t="shared" si="9"/>
        <v>#DIV/0!</v>
      </c>
      <c r="O140" t="e">
        <f t="shared" si="10"/>
        <v>#DIV/0!</v>
      </c>
      <c r="P140" t="e">
        <f t="shared" si="11"/>
        <v>#NUM!</v>
      </c>
    </row>
    <row r="141" spans="1:16" x14ac:dyDescent="0.25">
      <c r="A141" s="19"/>
      <c r="B141" s="16"/>
      <c r="C141" s="27"/>
      <c r="D141">
        <v>2022</v>
      </c>
      <c r="E141">
        <v>0</v>
      </c>
      <c r="F141" s="10"/>
      <c r="G141" s="10"/>
      <c r="H141" s="10"/>
      <c r="I141" s="10"/>
      <c r="J141" s="10"/>
      <c r="K141" s="30">
        <v>1</v>
      </c>
      <c r="L141" s="30">
        <v>1</v>
      </c>
      <c r="M141" t="e">
        <f t="shared" si="12"/>
        <v>#DIV/0!</v>
      </c>
      <c r="N141" t="e">
        <f t="shared" si="9"/>
        <v>#DIV/0!</v>
      </c>
      <c r="O141" t="e">
        <f t="shared" si="10"/>
        <v>#DIV/0!</v>
      </c>
      <c r="P141" t="e">
        <f t="shared" si="11"/>
        <v>#NUM!</v>
      </c>
    </row>
    <row r="142" spans="1:16" x14ac:dyDescent="0.25">
      <c r="A142" s="19"/>
      <c r="B142" s="16"/>
      <c r="C142" s="27"/>
      <c r="D142" s="1">
        <v>2023</v>
      </c>
      <c r="E142" s="1">
        <v>0</v>
      </c>
      <c r="F142" s="12"/>
      <c r="G142" s="12"/>
      <c r="H142" s="12"/>
      <c r="I142" s="12"/>
      <c r="J142" s="12"/>
      <c r="K142" s="30">
        <v>1</v>
      </c>
      <c r="L142" s="30">
        <v>1</v>
      </c>
      <c r="M142" t="e">
        <f t="shared" si="12"/>
        <v>#DIV/0!</v>
      </c>
      <c r="N142" t="e">
        <f t="shared" si="9"/>
        <v>#DIV/0!</v>
      </c>
      <c r="O142" t="e">
        <f t="shared" si="10"/>
        <v>#DIV/0!</v>
      </c>
      <c r="P142" t="e">
        <f t="shared" si="11"/>
        <v>#NUM!</v>
      </c>
    </row>
    <row r="143" spans="1:16" x14ac:dyDescent="0.25">
      <c r="A143" s="19"/>
      <c r="B143" s="16"/>
      <c r="C143" s="27" t="s">
        <v>45</v>
      </c>
      <c r="D143">
        <v>2019</v>
      </c>
      <c r="E143">
        <v>0</v>
      </c>
      <c r="F143" s="10"/>
      <c r="G143" s="10"/>
      <c r="H143" s="10"/>
      <c r="I143" s="10"/>
      <c r="J143" s="10"/>
      <c r="K143" s="30">
        <v>1</v>
      </c>
      <c r="L143" s="30">
        <v>1</v>
      </c>
      <c r="M143" t="e">
        <f t="shared" si="12"/>
        <v>#DIV/0!</v>
      </c>
      <c r="N143" t="e">
        <f t="shared" si="9"/>
        <v>#DIV/0!</v>
      </c>
      <c r="O143" t="e">
        <f t="shared" si="10"/>
        <v>#DIV/0!</v>
      </c>
      <c r="P143" t="e">
        <f t="shared" si="11"/>
        <v>#NUM!</v>
      </c>
    </row>
    <row r="144" spans="1:16" x14ac:dyDescent="0.25">
      <c r="A144" s="19"/>
      <c r="B144" s="16"/>
      <c r="C144" s="27"/>
      <c r="D144">
        <v>2020</v>
      </c>
      <c r="E144">
        <v>0</v>
      </c>
      <c r="F144" s="10"/>
      <c r="G144" s="10"/>
      <c r="H144" s="10"/>
      <c r="I144" s="10"/>
      <c r="J144" s="10"/>
      <c r="K144" s="30">
        <v>1</v>
      </c>
      <c r="L144" s="30">
        <v>1</v>
      </c>
      <c r="M144" t="e">
        <f t="shared" si="12"/>
        <v>#DIV/0!</v>
      </c>
      <c r="N144" t="e">
        <f t="shared" si="9"/>
        <v>#DIV/0!</v>
      </c>
      <c r="O144" t="e">
        <f t="shared" si="10"/>
        <v>#DIV/0!</v>
      </c>
      <c r="P144" t="e">
        <f t="shared" si="11"/>
        <v>#NUM!</v>
      </c>
    </row>
    <row r="145" spans="1:16" x14ac:dyDescent="0.25">
      <c r="A145" s="19"/>
      <c r="B145" s="16"/>
      <c r="C145" s="27"/>
      <c r="D145">
        <v>2021</v>
      </c>
      <c r="E145">
        <v>0</v>
      </c>
      <c r="F145" s="10"/>
      <c r="G145" s="10"/>
      <c r="H145" s="10"/>
      <c r="I145" s="10"/>
      <c r="J145" s="10"/>
      <c r="K145" s="30">
        <v>1</v>
      </c>
      <c r="L145" s="30">
        <v>1</v>
      </c>
      <c r="M145" t="e">
        <f t="shared" si="12"/>
        <v>#DIV/0!</v>
      </c>
      <c r="N145" t="e">
        <f t="shared" si="9"/>
        <v>#DIV/0!</v>
      </c>
      <c r="O145" t="e">
        <f t="shared" si="10"/>
        <v>#DIV/0!</v>
      </c>
      <c r="P145" t="e">
        <f t="shared" si="11"/>
        <v>#NUM!</v>
      </c>
    </row>
    <row r="146" spans="1:16" x14ac:dyDescent="0.25">
      <c r="A146" s="19"/>
      <c r="B146" s="16"/>
      <c r="C146" s="27"/>
      <c r="D146">
        <v>2022</v>
      </c>
      <c r="E146">
        <v>0</v>
      </c>
      <c r="F146" s="10"/>
      <c r="G146" s="10"/>
      <c r="H146" s="10"/>
      <c r="I146" s="10"/>
      <c r="J146" s="10"/>
      <c r="K146" s="30">
        <v>1</v>
      </c>
      <c r="L146" s="30">
        <v>1</v>
      </c>
      <c r="M146" t="e">
        <f t="shared" si="12"/>
        <v>#DIV/0!</v>
      </c>
      <c r="N146" t="e">
        <f t="shared" si="9"/>
        <v>#DIV/0!</v>
      </c>
      <c r="O146" t="e">
        <f t="shared" si="10"/>
        <v>#DIV/0!</v>
      </c>
      <c r="P146" t="e">
        <f t="shared" si="11"/>
        <v>#NUM!</v>
      </c>
    </row>
    <row r="147" spans="1:16" x14ac:dyDescent="0.25">
      <c r="A147" s="19"/>
      <c r="B147" s="16"/>
      <c r="C147" s="27"/>
      <c r="D147" s="1">
        <v>2023</v>
      </c>
      <c r="E147" s="1">
        <v>0</v>
      </c>
      <c r="F147" s="12"/>
      <c r="G147" s="12"/>
      <c r="H147" s="12"/>
      <c r="I147" s="12"/>
      <c r="J147" s="12"/>
      <c r="K147" s="30">
        <v>1</v>
      </c>
      <c r="L147" s="30">
        <v>1</v>
      </c>
      <c r="M147" t="e">
        <f t="shared" si="12"/>
        <v>#DIV/0!</v>
      </c>
      <c r="N147" t="e">
        <f t="shared" si="9"/>
        <v>#DIV/0!</v>
      </c>
      <c r="O147" t="e">
        <f t="shared" si="10"/>
        <v>#DIV/0!</v>
      </c>
      <c r="P147" t="e">
        <f t="shared" si="11"/>
        <v>#NUM!</v>
      </c>
    </row>
    <row r="148" spans="1:16" x14ac:dyDescent="0.25">
      <c r="A148" s="19"/>
      <c r="B148" s="16"/>
      <c r="C148" s="27" t="s">
        <v>46</v>
      </c>
      <c r="D148">
        <v>2019</v>
      </c>
      <c r="E148">
        <v>0</v>
      </c>
      <c r="F148" s="10"/>
      <c r="G148" s="10"/>
      <c r="H148" s="10"/>
      <c r="I148" s="10"/>
      <c r="J148" s="10"/>
      <c r="K148" s="30">
        <v>0</v>
      </c>
      <c r="L148" s="30">
        <v>0</v>
      </c>
      <c r="M148" t="e">
        <f t="shared" si="12"/>
        <v>#DIV/0!</v>
      </c>
      <c r="N148" t="e">
        <f t="shared" si="9"/>
        <v>#DIV/0!</v>
      </c>
      <c r="O148" t="e">
        <f t="shared" si="10"/>
        <v>#DIV/0!</v>
      </c>
      <c r="P148" t="e">
        <f t="shared" si="11"/>
        <v>#NUM!</v>
      </c>
    </row>
    <row r="149" spans="1:16" x14ac:dyDescent="0.25">
      <c r="A149" s="19"/>
      <c r="B149" s="16"/>
      <c r="C149" s="27"/>
      <c r="D149">
        <v>2020</v>
      </c>
      <c r="E149">
        <v>0</v>
      </c>
      <c r="F149" s="10"/>
      <c r="G149" s="10"/>
      <c r="H149" s="10"/>
      <c r="I149" s="10"/>
      <c r="J149" s="10"/>
      <c r="K149" s="30">
        <v>0</v>
      </c>
      <c r="L149" s="30">
        <v>0</v>
      </c>
      <c r="M149" t="e">
        <f t="shared" si="12"/>
        <v>#DIV/0!</v>
      </c>
      <c r="N149" t="e">
        <f t="shared" si="9"/>
        <v>#DIV/0!</v>
      </c>
      <c r="O149" t="e">
        <f t="shared" si="10"/>
        <v>#DIV/0!</v>
      </c>
      <c r="P149" t="e">
        <f t="shared" si="11"/>
        <v>#NUM!</v>
      </c>
    </row>
    <row r="150" spans="1:16" x14ac:dyDescent="0.25">
      <c r="A150" s="19"/>
      <c r="B150" s="16"/>
      <c r="C150" s="27"/>
      <c r="D150">
        <v>2021</v>
      </c>
      <c r="E150">
        <v>0</v>
      </c>
      <c r="F150" s="10"/>
      <c r="G150" s="10"/>
      <c r="H150" s="10"/>
      <c r="I150" s="10"/>
      <c r="J150" s="10"/>
      <c r="K150" s="30">
        <v>1</v>
      </c>
      <c r="L150" s="30">
        <v>1</v>
      </c>
      <c r="M150" t="e">
        <f t="shared" si="12"/>
        <v>#DIV/0!</v>
      </c>
      <c r="N150" t="e">
        <f t="shared" si="9"/>
        <v>#DIV/0!</v>
      </c>
      <c r="O150" t="e">
        <f t="shared" si="10"/>
        <v>#DIV/0!</v>
      </c>
      <c r="P150" t="e">
        <f t="shared" si="11"/>
        <v>#NUM!</v>
      </c>
    </row>
    <row r="151" spans="1:16" x14ac:dyDescent="0.25">
      <c r="A151" s="19"/>
      <c r="B151" s="16"/>
      <c r="C151" s="27"/>
      <c r="D151">
        <v>2022</v>
      </c>
      <c r="E151">
        <v>0</v>
      </c>
      <c r="F151" s="10"/>
      <c r="G151" s="10"/>
      <c r="H151" s="10"/>
      <c r="I151" s="10"/>
      <c r="J151" s="10"/>
      <c r="K151" s="30">
        <v>1</v>
      </c>
      <c r="L151" s="30">
        <v>1</v>
      </c>
      <c r="M151" t="e">
        <f t="shared" si="12"/>
        <v>#DIV/0!</v>
      </c>
      <c r="N151" t="e">
        <f t="shared" si="9"/>
        <v>#DIV/0!</v>
      </c>
      <c r="O151" t="e">
        <f t="shared" si="10"/>
        <v>#DIV/0!</v>
      </c>
      <c r="P151" t="e">
        <f t="shared" si="11"/>
        <v>#NUM!</v>
      </c>
    </row>
    <row r="152" spans="1:16" x14ac:dyDescent="0.25">
      <c r="A152" s="20"/>
      <c r="B152" s="16"/>
      <c r="C152" s="27"/>
      <c r="D152" s="1">
        <v>2023</v>
      </c>
      <c r="E152" s="1">
        <v>0</v>
      </c>
      <c r="F152" s="12"/>
      <c r="G152" s="12"/>
      <c r="H152" s="12"/>
      <c r="I152" s="12"/>
      <c r="J152" s="12"/>
      <c r="K152" s="30">
        <v>1</v>
      </c>
      <c r="L152" s="30">
        <v>1</v>
      </c>
      <c r="M152" t="e">
        <f t="shared" si="12"/>
        <v>#DIV/0!</v>
      </c>
      <c r="N152" t="e">
        <f t="shared" si="9"/>
        <v>#DIV/0!</v>
      </c>
      <c r="O152" t="e">
        <f t="shared" si="10"/>
        <v>#DIV/0!</v>
      </c>
      <c r="P152" t="e">
        <f t="shared" si="11"/>
        <v>#NUM!</v>
      </c>
    </row>
    <row r="153" spans="1:16" x14ac:dyDescent="0.25">
      <c r="A153" s="3"/>
    </row>
    <row r="154" spans="1:16" x14ac:dyDescent="0.25">
      <c r="A154" s="3"/>
    </row>
    <row r="155" spans="1:16" x14ac:dyDescent="0.25">
      <c r="A155" s="3"/>
    </row>
    <row r="156" spans="1:16" x14ac:dyDescent="0.25">
      <c r="A156" s="3"/>
    </row>
    <row r="157" spans="1:16" x14ac:dyDescent="0.25">
      <c r="A157" s="3"/>
    </row>
    <row r="158" spans="1:16" x14ac:dyDescent="0.25">
      <c r="A158" s="3"/>
    </row>
    <row r="159" spans="1:16" x14ac:dyDescent="0.25">
      <c r="A159" s="3"/>
    </row>
    <row r="160" spans="1:16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4"/>
    </row>
  </sheetData>
  <autoFilter ref="C2:E152" xr:uid="{71D8228F-9D6F-4117-9EDD-EF63BD13BCE2}"/>
  <mergeCells count="42">
    <mergeCell ref="K1:L1"/>
    <mergeCell ref="C148:C152"/>
    <mergeCell ref="C143:C147"/>
    <mergeCell ref="C138:C142"/>
    <mergeCell ref="A2:B2"/>
    <mergeCell ref="C1:E1"/>
    <mergeCell ref="F1:J1"/>
    <mergeCell ref="C103:C107"/>
    <mergeCell ref="C98:C102"/>
    <mergeCell ref="C93:C97"/>
    <mergeCell ref="C88:C92"/>
    <mergeCell ref="C133:C137"/>
    <mergeCell ref="C128:C132"/>
    <mergeCell ref="C123:C127"/>
    <mergeCell ref="C118:C122"/>
    <mergeCell ref="C113:C117"/>
    <mergeCell ref="C108:C112"/>
    <mergeCell ref="C48:C52"/>
    <mergeCell ref="C43:C47"/>
    <mergeCell ref="C83:C87"/>
    <mergeCell ref="C78:C82"/>
    <mergeCell ref="C73:C77"/>
    <mergeCell ref="C68:C72"/>
    <mergeCell ref="C63:C67"/>
    <mergeCell ref="C58:C62"/>
    <mergeCell ref="C53:C57"/>
    <mergeCell ref="C3:C7"/>
    <mergeCell ref="C8:C12"/>
    <mergeCell ref="C38:C42"/>
    <mergeCell ref="C33:C37"/>
    <mergeCell ref="C28:C32"/>
    <mergeCell ref="C23:C27"/>
    <mergeCell ref="C18:C22"/>
    <mergeCell ref="C13:C17"/>
    <mergeCell ref="B78:B102"/>
    <mergeCell ref="A3:A102"/>
    <mergeCell ref="A103:A152"/>
    <mergeCell ref="B103:B152"/>
    <mergeCell ref="B3:B27"/>
    <mergeCell ref="B28:B52"/>
    <mergeCell ref="B53:B62"/>
    <mergeCell ref="B63:B77"/>
  </mergeCells>
  <phoneticPr fontId="5" type="noConversion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7BFC-D18B-4788-A8B8-7F5FFE24977A}">
  <dimension ref="A1:I151"/>
  <sheetViews>
    <sheetView topLeftCell="A31" workbookViewId="0">
      <selection activeCell="O32" sqref="O32"/>
    </sheetView>
  </sheetViews>
  <sheetFormatPr defaultRowHeight="15" x14ac:dyDescent="0.25"/>
  <cols>
    <col min="1" max="1" width="7.7109375" bestFit="1" customWidth="1"/>
    <col min="2" max="2" width="5.5703125" bestFit="1" customWidth="1"/>
    <col min="3" max="3" width="14.85546875" bestFit="1" customWidth="1"/>
    <col min="4" max="4" width="12.85546875" bestFit="1" customWidth="1"/>
    <col min="5" max="5" width="13.5703125" bestFit="1" customWidth="1"/>
    <col min="6" max="6" width="8.140625" bestFit="1" customWidth="1"/>
    <col min="7" max="7" width="10" bestFit="1" customWidth="1"/>
    <col min="8" max="8" width="12.85546875" bestFit="1" customWidth="1"/>
    <col min="9" max="9" width="5" bestFit="1" customWidth="1"/>
  </cols>
  <sheetData>
    <row r="1" spans="1:9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t="s">
        <v>10</v>
      </c>
      <c r="B2">
        <v>2019</v>
      </c>
    </row>
    <row r="3" spans="1:9" x14ac:dyDescent="0.25">
      <c r="A3" t="s">
        <v>10</v>
      </c>
      <c r="B3">
        <v>2020</v>
      </c>
    </row>
    <row r="4" spans="1:9" x14ac:dyDescent="0.25">
      <c r="A4" t="s">
        <v>10</v>
      </c>
      <c r="B4">
        <v>2021</v>
      </c>
    </row>
    <row r="5" spans="1:9" x14ac:dyDescent="0.25">
      <c r="A5" t="s">
        <v>10</v>
      </c>
      <c r="B5">
        <v>2022</v>
      </c>
    </row>
    <row r="6" spans="1:9" x14ac:dyDescent="0.25">
      <c r="A6" t="s">
        <v>10</v>
      </c>
      <c r="B6">
        <v>2023</v>
      </c>
    </row>
    <row r="7" spans="1:9" x14ac:dyDescent="0.25">
      <c r="A7" t="s">
        <v>11</v>
      </c>
      <c r="B7">
        <v>2019</v>
      </c>
    </row>
    <row r="8" spans="1:9" x14ac:dyDescent="0.25">
      <c r="A8" t="s">
        <v>11</v>
      </c>
      <c r="B8">
        <v>2020</v>
      </c>
    </row>
    <row r="9" spans="1:9" x14ac:dyDescent="0.25">
      <c r="A9" t="s">
        <v>11</v>
      </c>
      <c r="B9">
        <v>2021</v>
      </c>
    </row>
    <row r="10" spans="1:9" x14ac:dyDescent="0.25">
      <c r="A10" t="s">
        <v>11</v>
      </c>
      <c r="B10">
        <v>2022</v>
      </c>
    </row>
    <row r="11" spans="1:9" x14ac:dyDescent="0.25">
      <c r="A11" t="s">
        <v>11</v>
      </c>
      <c r="B11">
        <v>2023</v>
      </c>
    </row>
    <row r="12" spans="1:9" x14ac:dyDescent="0.25">
      <c r="A12" t="s">
        <v>12</v>
      </c>
      <c r="B12">
        <v>2019</v>
      </c>
    </row>
    <row r="13" spans="1:9" x14ac:dyDescent="0.25">
      <c r="A13" t="s">
        <v>12</v>
      </c>
      <c r="B13">
        <v>2020</v>
      </c>
    </row>
    <row r="14" spans="1:9" x14ac:dyDescent="0.25">
      <c r="A14" t="s">
        <v>12</v>
      </c>
      <c r="B14">
        <v>2021</v>
      </c>
    </row>
    <row r="15" spans="1:9" x14ac:dyDescent="0.25">
      <c r="A15" t="s">
        <v>12</v>
      </c>
      <c r="B15">
        <v>2022</v>
      </c>
    </row>
    <row r="16" spans="1:9" x14ac:dyDescent="0.25">
      <c r="A16" t="s">
        <v>12</v>
      </c>
      <c r="B16">
        <v>2023</v>
      </c>
    </row>
    <row r="17" spans="1:2" x14ac:dyDescent="0.25">
      <c r="A17" t="s">
        <v>13</v>
      </c>
      <c r="B17">
        <v>2019</v>
      </c>
    </row>
    <row r="18" spans="1:2" x14ac:dyDescent="0.25">
      <c r="A18" t="s">
        <v>13</v>
      </c>
      <c r="B18">
        <v>2020</v>
      </c>
    </row>
    <row r="19" spans="1:2" x14ac:dyDescent="0.25">
      <c r="A19" t="s">
        <v>13</v>
      </c>
      <c r="B19">
        <v>2021</v>
      </c>
    </row>
    <row r="20" spans="1:2" x14ac:dyDescent="0.25">
      <c r="A20" t="s">
        <v>13</v>
      </c>
      <c r="B20">
        <v>2022</v>
      </c>
    </row>
    <row r="21" spans="1:2" x14ac:dyDescent="0.25">
      <c r="A21" t="s">
        <v>13</v>
      </c>
      <c r="B21">
        <v>2023</v>
      </c>
    </row>
    <row r="22" spans="1:2" x14ac:dyDescent="0.25">
      <c r="A22" t="s">
        <v>14</v>
      </c>
      <c r="B22">
        <v>2019</v>
      </c>
    </row>
    <row r="23" spans="1:2" x14ac:dyDescent="0.25">
      <c r="A23" t="s">
        <v>14</v>
      </c>
      <c r="B23">
        <v>2020</v>
      </c>
    </row>
    <row r="24" spans="1:2" x14ac:dyDescent="0.25">
      <c r="A24" t="s">
        <v>14</v>
      </c>
      <c r="B24">
        <v>2021</v>
      </c>
    </row>
    <row r="25" spans="1:2" x14ac:dyDescent="0.25">
      <c r="A25" t="s">
        <v>14</v>
      </c>
      <c r="B25">
        <v>2022</v>
      </c>
    </row>
    <row r="26" spans="1:2" x14ac:dyDescent="0.25">
      <c r="A26" t="s">
        <v>14</v>
      </c>
      <c r="B26">
        <v>2023</v>
      </c>
    </row>
    <row r="27" spans="1:2" x14ac:dyDescent="0.25">
      <c r="A27" t="s">
        <v>17</v>
      </c>
      <c r="B27">
        <v>2019</v>
      </c>
    </row>
    <row r="28" spans="1:2" x14ac:dyDescent="0.25">
      <c r="A28" t="s">
        <v>17</v>
      </c>
      <c r="B28">
        <v>2020</v>
      </c>
    </row>
    <row r="29" spans="1:2" x14ac:dyDescent="0.25">
      <c r="A29" t="s">
        <v>17</v>
      </c>
      <c r="B29">
        <v>2021</v>
      </c>
    </row>
    <row r="30" spans="1:2" x14ac:dyDescent="0.25">
      <c r="A30" t="s">
        <v>17</v>
      </c>
      <c r="B30">
        <v>2022</v>
      </c>
    </row>
    <row r="31" spans="1:2" x14ac:dyDescent="0.25">
      <c r="A31" t="s">
        <v>17</v>
      </c>
      <c r="B31">
        <v>2023</v>
      </c>
    </row>
    <row r="32" spans="1:2" x14ac:dyDescent="0.25">
      <c r="A32" t="s">
        <v>18</v>
      </c>
      <c r="B32">
        <v>2019</v>
      </c>
    </row>
    <row r="33" spans="1:2" x14ac:dyDescent="0.25">
      <c r="A33" t="s">
        <v>18</v>
      </c>
      <c r="B33">
        <v>2020</v>
      </c>
    </row>
    <row r="34" spans="1:2" x14ac:dyDescent="0.25">
      <c r="A34" t="s">
        <v>18</v>
      </c>
      <c r="B34">
        <v>2021</v>
      </c>
    </row>
    <row r="35" spans="1:2" x14ac:dyDescent="0.25">
      <c r="A35" t="s">
        <v>18</v>
      </c>
      <c r="B35">
        <v>2022</v>
      </c>
    </row>
    <row r="36" spans="1:2" x14ac:dyDescent="0.25">
      <c r="A36" t="s">
        <v>18</v>
      </c>
      <c r="B36">
        <v>2023</v>
      </c>
    </row>
    <row r="37" spans="1:2" x14ac:dyDescent="0.25">
      <c r="A37" t="s">
        <v>19</v>
      </c>
      <c r="B37">
        <v>2019</v>
      </c>
    </row>
    <row r="38" spans="1:2" x14ac:dyDescent="0.25">
      <c r="A38" t="s">
        <v>19</v>
      </c>
      <c r="B38">
        <v>2020</v>
      </c>
    </row>
    <row r="39" spans="1:2" x14ac:dyDescent="0.25">
      <c r="A39" t="s">
        <v>19</v>
      </c>
      <c r="B39">
        <v>2021</v>
      </c>
    </row>
    <row r="40" spans="1:2" x14ac:dyDescent="0.25">
      <c r="A40" t="s">
        <v>19</v>
      </c>
      <c r="B40">
        <v>2022</v>
      </c>
    </row>
    <row r="41" spans="1:2" x14ac:dyDescent="0.25">
      <c r="A41" t="s">
        <v>19</v>
      </c>
      <c r="B41">
        <v>2023</v>
      </c>
    </row>
    <row r="42" spans="1:2" x14ac:dyDescent="0.25">
      <c r="A42" t="s">
        <v>20</v>
      </c>
      <c r="B42">
        <v>2019</v>
      </c>
    </row>
    <row r="43" spans="1:2" x14ac:dyDescent="0.25">
      <c r="A43" t="s">
        <v>20</v>
      </c>
      <c r="B43">
        <v>2020</v>
      </c>
    </row>
    <row r="44" spans="1:2" x14ac:dyDescent="0.25">
      <c r="A44" t="s">
        <v>20</v>
      </c>
      <c r="B44">
        <v>2021</v>
      </c>
    </row>
    <row r="45" spans="1:2" x14ac:dyDescent="0.25">
      <c r="A45" t="s">
        <v>20</v>
      </c>
      <c r="B45">
        <v>2022</v>
      </c>
    </row>
    <row r="46" spans="1:2" x14ac:dyDescent="0.25">
      <c r="A46" t="s">
        <v>20</v>
      </c>
      <c r="B46">
        <v>2023</v>
      </c>
    </row>
    <row r="47" spans="1:2" x14ac:dyDescent="0.25">
      <c r="A47" t="s">
        <v>21</v>
      </c>
      <c r="B47">
        <v>2019</v>
      </c>
    </row>
    <row r="48" spans="1:2" x14ac:dyDescent="0.25">
      <c r="A48" t="s">
        <v>21</v>
      </c>
      <c r="B48">
        <v>2020</v>
      </c>
    </row>
    <row r="49" spans="1:2" x14ac:dyDescent="0.25">
      <c r="A49" t="s">
        <v>21</v>
      </c>
      <c r="B49">
        <v>2021</v>
      </c>
    </row>
    <row r="50" spans="1:2" x14ac:dyDescent="0.25">
      <c r="A50" t="s">
        <v>21</v>
      </c>
      <c r="B50">
        <v>2022</v>
      </c>
    </row>
    <row r="51" spans="1:2" x14ac:dyDescent="0.25">
      <c r="A51" t="s">
        <v>21</v>
      </c>
      <c r="B51">
        <v>2023</v>
      </c>
    </row>
    <row r="52" spans="1:2" x14ac:dyDescent="0.25">
      <c r="A52" t="s">
        <v>23</v>
      </c>
      <c r="B52">
        <v>2019</v>
      </c>
    </row>
    <row r="53" spans="1:2" x14ac:dyDescent="0.25">
      <c r="A53" t="s">
        <v>23</v>
      </c>
      <c r="B53">
        <v>2020</v>
      </c>
    </row>
    <row r="54" spans="1:2" x14ac:dyDescent="0.25">
      <c r="A54" t="s">
        <v>23</v>
      </c>
      <c r="B54">
        <v>2021</v>
      </c>
    </row>
    <row r="55" spans="1:2" x14ac:dyDescent="0.25">
      <c r="A55" t="s">
        <v>23</v>
      </c>
      <c r="B55">
        <v>2022</v>
      </c>
    </row>
    <row r="56" spans="1:2" x14ac:dyDescent="0.25">
      <c r="A56" t="s">
        <v>23</v>
      </c>
      <c r="B56">
        <v>2023</v>
      </c>
    </row>
    <row r="57" spans="1:2" x14ac:dyDescent="0.25">
      <c r="A57" t="s">
        <v>24</v>
      </c>
      <c r="B57">
        <v>2019</v>
      </c>
    </row>
    <row r="58" spans="1:2" x14ac:dyDescent="0.25">
      <c r="A58" t="s">
        <v>24</v>
      </c>
      <c r="B58">
        <v>2020</v>
      </c>
    </row>
    <row r="59" spans="1:2" x14ac:dyDescent="0.25">
      <c r="A59" t="s">
        <v>24</v>
      </c>
      <c r="B59">
        <v>2021</v>
      </c>
    </row>
    <row r="60" spans="1:2" x14ac:dyDescent="0.25">
      <c r="A60" t="s">
        <v>24</v>
      </c>
      <c r="B60">
        <v>2022</v>
      </c>
    </row>
    <row r="61" spans="1:2" x14ac:dyDescent="0.25">
      <c r="A61" t="s">
        <v>24</v>
      </c>
      <c r="B61">
        <v>2023</v>
      </c>
    </row>
    <row r="62" spans="1:2" x14ac:dyDescent="0.25">
      <c r="A62" t="s">
        <v>26</v>
      </c>
      <c r="B62">
        <v>2019</v>
      </c>
    </row>
    <row r="63" spans="1:2" x14ac:dyDescent="0.25">
      <c r="A63" t="s">
        <v>26</v>
      </c>
      <c r="B63">
        <v>2020</v>
      </c>
    </row>
    <row r="64" spans="1:2" x14ac:dyDescent="0.25">
      <c r="A64" t="s">
        <v>26</v>
      </c>
      <c r="B64">
        <v>2021</v>
      </c>
    </row>
    <row r="65" spans="1:2" x14ac:dyDescent="0.25">
      <c r="A65" t="s">
        <v>26</v>
      </c>
      <c r="B65">
        <v>2022</v>
      </c>
    </row>
    <row r="66" spans="1:2" x14ac:dyDescent="0.25">
      <c r="A66" t="s">
        <v>26</v>
      </c>
      <c r="B66">
        <v>2023</v>
      </c>
    </row>
    <row r="67" spans="1:2" x14ac:dyDescent="0.25">
      <c r="A67" t="s">
        <v>27</v>
      </c>
      <c r="B67">
        <v>2019</v>
      </c>
    </row>
    <row r="68" spans="1:2" x14ac:dyDescent="0.25">
      <c r="A68" t="s">
        <v>27</v>
      </c>
      <c r="B68">
        <v>2020</v>
      </c>
    </row>
    <row r="69" spans="1:2" x14ac:dyDescent="0.25">
      <c r="A69" t="s">
        <v>27</v>
      </c>
      <c r="B69">
        <v>2021</v>
      </c>
    </row>
    <row r="70" spans="1:2" x14ac:dyDescent="0.25">
      <c r="A70" t="s">
        <v>27</v>
      </c>
      <c r="B70">
        <v>2022</v>
      </c>
    </row>
    <row r="71" spans="1:2" x14ac:dyDescent="0.25">
      <c r="A71" t="s">
        <v>27</v>
      </c>
      <c r="B71">
        <v>2023</v>
      </c>
    </row>
    <row r="72" spans="1:2" x14ac:dyDescent="0.25">
      <c r="A72" t="s">
        <v>28</v>
      </c>
      <c r="B72">
        <v>2019</v>
      </c>
    </row>
    <row r="73" spans="1:2" x14ac:dyDescent="0.25">
      <c r="A73" t="s">
        <v>28</v>
      </c>
      <c r="B73">
        <v>2020</v>
      </c>
    </row>
    <row r="74" spans="1:2" x14ac:dyDescent="0.25">
      <c r="A74" t="s">
        <v>28</v>
      </c>
      <c r="B74">
        <v>2021</v>
      </c>
    </row>
    <row r="75" spans="1:2" x14ac:dyDescent="0.25">
      <c r="A75" t="s">
        <v>28</v>
      </c>
      <c r="B75">
        <v>2022</v>
      </c>
    </row>
    <row r="76" spans="1:2" x14ac:dyDescent="0.25">
      <c r="A76" t="s">
        <v>28</v>
      </c>
      <c r="B76">
        <v>2023</v>
      </c>
    </row>
    <row r="77" spans="1:2" x14ac:dyDescent="0.25">
      <c r="A77" t="s">
        <v>30</v>
      </c>
      <c r="B77">
        <v>2019</v>
      </c>
    </row>
    <row r="78" spans="1:2" x14ac:dyDescent="0.25">
      <c r="A78" t="s">
        <v>30</v>
      </c>
      <c r="B78">
        <v>2020</v>
      </c>
    </row>
    <row r="79" spans="1:2" x14ac:dyDescent="0.25">
      <c r="A79" t="s">
        <v>30</v>
      </c>
      <c r="B79">
        <v>2021</v>
      </c>
    </row>
    <row r="80" spans="1:2" x14ac:dyDescent="0.25">
      <c r="A80" t="s">
        <v>30</v>
      </c>
      <c r="B80">
        <v>2022</v>
      </c>
    </row>
    <row r="81" spans="1:2" x14ac:dyDescent="0.25">
      <c r="A81" t="s">
        <v>30</v>
      </c>
      <c r="B81">
        <v>2023</v>
      </c>
    </row>
    <row r="82" spans="1:2" x14ac:dyDescent="0.25">
      <c r="A82" t="s">
        <v>31</v>
      </c>
      <c r="B82">
        <v>2019</v>
      </c>
    </row>
    <row r="83" spans="1:2" x14ac:dyDescent="0.25">
      <c r="A83" t="s">
        <v>31</v>
      </c>
      <c r="B83">
        <v>2020</v>
      </c>
    </row>
    <row r="84" spans="1:2" x14ac:dyDescent="0.25">
      <c r="A84" t="s">
        <v>31</v>
      </c>
      <c r="B84">
        <v>2021</v>
      </c>
    </row>
    <row r="85" spans="1:2" x14ac:dyDescent="0.25">
      <c r="A85" t="s">
        <v>31</v>
      </c>
      <c r="B85">
        <v>2022</v>
      </c>
    </row>
    <row r="86" spans="1:2" x14ac:dyDescent="0.25">
      <c r="A86" t="s">
        <v>31</v>
      </c>
      <c r="B86">
        <v>2023</v>
      </c>
    </row>
    <row r="87" spans="1:2" x14ac:dyDescent="0.25">
      <c r="A87" t="s">
        <v>32</v>
      </c>
      <c r="B87">
        <v>2019</v>
      </c>
    </row>
    <row r="88" spans="1:2" x14ac:dyDescent="0.25">
      <c r="A88" t="s">
        <v>32</v>
      </c>
      <c r="B88">
        <v>2020</v>
      </c>
    </row>
    <row r="89" spans="1:2" x14ac:dyDescent="0.25">
      <c r="A89" t="s">
        <v>32</v>
      </c>
      <c r="B89">
        <v>2021</v>
      </c>
    </row>
    <row r="90" spans="1:2" x14ac:dyDescent="0.25">
      <c r="A90" t="s">
        <v>32</v>
      </c>
      <c r="B90">
        <v>2022</v>
      </c>
    </row>
    <row r="91" spans="1:2" x14ac:dyDescent="0.25">
      <c r="A91" t="s">
        <v>32</v>
      </c>
      <c r="B91">
        <v>2023</v>
      </c>
    </row>
    <row r="92" spans="1:2" x14ac:dyDescent="0.25">
      <c r="A92" t="s">
        <v>33</v>
      </c>
      <c r="B92">
        <v>2019</v>
      </c>
    </row>
    <row r="93" spans="1:2" x14ac:dyDescent="0.25">
      <c r="A93" t="s">
        <v>33</v>
      </c>
      <c r="B93">
        <v>2020</v>
      </c>
    </row>
    <row r="94" spans="1:2" x14ac:dyDescent="0.25">
      <c r="A94" t="s">
        <v>33</v>
      </c>
      <c r="B94">
        <v>2021</v>
      </c>
    </row>
    <row r="95" spans="1:2" x14ac:dyDescent="0.25">
      <c r="A95" t="s">
        <v>33</v>
      </c>
      <c r="B95">
        <v>2022</v>
      </c>
    </row>
    <row r="96" spans="1:2" x14ac:dyDescent="0.25">
      <c r="A96" t="s">
        <v>33</v>
      </c>
      <c r="B96">
        <v>2023</v>
      </c>
    </row>
    <row r="97" spans="1:2" x14ac:dyDescent="0.25">
      <c r="A97" t="s">
        <v>34</v>
      </c>
      <c r="B97">
        <v>2019</v>
      </c>
    </row>
    <row r="98" spans="1:2" x14ac:dyDescent="0.25">
      <c r="A98" t="s">
        <v>34</v>
      </c>
      <c r="B98">
        <v>2020</v>
      </c>
    </row>
    <row r="99" spans="1:2" x14ac:dyDescent="0.25">
      <c r="A99" t="s">
        <v>34</v>
      </c>
      <c r="B99">
        <v>2021</v>
      </c>
    </row>
    <row r="100" spans="1:2" x14ac:dyDescent="0.25">
      <c r="A100" t="s">
        <v>34</v>
      </c>
      <c r="B100">
        <v>2022</v>
      </c>
    </row>
    <row r="101" spans="1:2" x14ac:dyDescent="0.25">
      <c r="A101" t="s">
        <v>34</v>
      </c>
      <c r="B101">
        <v>2023</v>
      </c>
    </row>
    <row r="102" spans="1:2" x14ac:dyDescent="0.25">
      <c r="A102" t="s">
        <v>37</v>
      </c>
      <c r="B102">
        <v>2019</v>
      </c>
    </row>
    <row r="103" spans="1:2" x14ac:dyDescent="0.25">
      <c r="A103" t="s">
        <v>37</v>
      </c>
      <c r="B103">
        <v>2020</v>
      </c>
    </row>
    <row r="104" spans="1:2" x14ac:dyDescent="0.25">
      <c r="A104" t="s">
        <v>37</v>
      </c>
      <c r="B104">
        <v>2021</v>
      </c>
    </row>
    <row r="105" spans="1:2" x14ac:dyDescent="0.25">
      <c r="A105" t="s">
        <v>37</v>
      </c>
      <c r="B105">
        <v>2022</v>
      </c>
    </row>
    <row r="106" spans="1:2" x14ac:dyDescent="0.25">
      <c r="A106" t="s">
        <v>37</v>
      </c>
      <c r="B106">
        <v>2023</v>
      </c>
    </row>
    <row r="107" spans="1:2" x14ac:dyDescent="0.25">
      <c r="A107" t="s">
        <v>38</v>
      </c>
      <c r="B107">
        <v>2019</v>
      </c>
    </row>
    <row r="108" spans="1:2" x14ac:dyDescent="0.25">
      <c r="A108" t="s">
        <v>38</v>
      </c>
      <c r="B108">
        <v>2020</v>
      </c>
    </row>
    <row r="109" spans="1:2" x14ac:dyDescent="0.25">
      <c r="A109" t="s">
        <v>38</v>
      </c>
      <c r="B109">
        <v>2021</v>
      </c>
    </row>
    <row r="110" spans="1:2" x14ac:dyDescent="0.25">
      <c r="A110" t="s">
        <v>38</v>
      </c>
      <c r="B110">
        <v>2022</v>
      </c>
    </row>
    <row r="111" spans="1:2" x14ac:dyDescent="0.25">
      <c r="A111" t="s">
        <v>38</v>
      </c>
      <c r="B111">
        <v>2023</v>
      </c>
    </row>
    <row r="112" spans="1:2" x14ac:dyDescent="0.25">
      <c r="A112" t="s">
        <v>39</v>
      </c>
      <c r="B112">
        <v>2019</v>
      </c>
    </row>
    <row r="113" spans="1:2" x14ac:dyDescent="0.25">
      <c r="A113" t="s">
        <v>39</v>
      </c>
      <c r="B113">
        <v>2020</v>
      </c>
    </row>
    <row r="114" spans="1:2" x14ac:dyDescent="0.25">
      <c r="A114" t="s">
        <v>39</v>
      </c>
      <c r="B114">
        <v>2021</v>
      </c>
    </row>
    <row r="115" spans="1:2" x14ac:dyDescent="0.25">
      <c r="A115" t="s">
        <v>39</v>
      </c>
      <c r="B115">
        <v>2022</v>
      </c>
    </row>
    <row r="116" spans="1:2" x14ac:dyDescent="0.25">
      <c r="A116" t="s">
        <v>39</v>
      </c>
      <c r="B116">
        <v>2023</v>
      </c>
    </row>
    <row r="117" spans="1:2" x14ac:dyDescent="0.25">
      <c r="A117" t="s">
        <v>40</v>
      </c>
      <c r="B117">
        <v>2019</v>
      </c>
    </row>
    <row r="118" spans="1:2" x14ac:dyDescent="0.25">
      <c r="A118" t="s">
        <v>40</v>
      </c>
      <c r="B118">
        <v>2020</v>
      </c>
    </row>
    <row r="119" spans="1:2" x14ac:dyDescent="0.25">
      <c r="A119" t="s">
        <v>40</v>
      </c>
      <c r="B119">
        <v>2021</v>
      </c>
    </row>
    <row r="120" spans="1:2" x14ac:dyDescent="0.25">
      <c r="A120" t="s">
        <v>40</v>
      </c>
      <c r="B120">
        <v>2022</v>
      </c>
    </row>
    <row r="121" spans="1:2" x14ac:dyDescent="0.25">
      <c r="A121" t="s">
        <v>40</v>
      </c>
      <c r="B121">
        <v>2023</v>
      </c>
    </row>
    <row r="122" spans="1:2" x14ac:dyDescent="0.25">
      <c r="A122" t="s">
        <v>41</v>
      </c>
      <c r="B122">
        <v>2019</v>
      </c>
    </row>
    <row r="123" spans="1:2" x14ac:dyDescent="0.25">
      <c r="A123" t="s">
        <v>41</v>
      </c>
      <c r="B123">
        <v>2020</v>
      </c>
    </row>
    <row r="124" spans="1:2" x14ac:dyDescent="0.25">
      <c r="A124" t="s">
        <v>41</v>
      </c>
      <c r="B124">
        <v>2021</v>
      </c>
    </row>
    <row r="125" spans="1:2" x14ac:dyDescent="0.25">
      <c r="A125" t="s">
        <v>41</v>
      </c>
      <c r="B125">
        <v>2022</v>
      </c>
    </row>
    <row r="126" spans="1:2" x14ac:dyDescent="0.25">
      <c r="A126" t="s">
        <v>41</v>
      </c>
      <c r="B126">
        <v>2023</v>
      </c>
    </row>
    <row r="127" spans="1:2" x14ac:dyDescent="0.25">
      <c r="A127" t="s">
        <v>42</v>
      </c>
      <c r="B127">
        <v>2019</v>
      </c>
    </row>
    <row r="128" spans="1:2" x14ac:dyDescent="0.25">
      <c r="A128" t="s">
        <v>42</v>
      </c>
      <c r="B128">
        <v>2020</v>
      </c>
    </row>
    <row r="129" spans="1:2" x14ac:dyDescent="0.25">
      <c r="A129" t="s">
        <v>42</v>
      </c>
      <c r="B129">
        <v>2021</v>
      </c>
    </row>
    <row r="130" spans="1:2" x14ac:dyDescent="0.25">
      <c r="A130" t="s">
        <v>42</v>
      </c>
      <c r="B130">
        <v>2022</v>
      </c>
    </row>
    <row r="131" spans="1:2" x14ac:dyDescent="0.25">
      <c r="A131" t="s">
        <v>42</v>
      </c>
      <c r="B131">
        <v>2023</v>
      </c>
    </row>
    <row r="132" spans="1:2" x14ac:dyDescent="0.25">
      <c r="A132" t="s">
        <v>43</v>
      </c>
      <c r="B132">
        <v>2019</v>
      </c>
    </row>
    <row r="133" spans="1:2" x14ac:dyDescent="0.25">
      <c r="A133" t="s">
        <v>43</v>
      </c>
      <c r="B133">
        <v>2020</v>
      </c>
    </row>
    <row r="134" spans="1:2" x14ac:dyDescent="0.25">
      <c r="A134" t="s">
        <v>43</v>
      </c>
      <c r="B134">
        <v>2021</v>
      </c>
    </row>
    <row r="135" spans="1:2" x14ac:dyDescent="0.25">
      <c r="A135" t="s">
        <v>43</v>
      </c>
      <c r="B135">
        <v>2022</v>
      </c>
    </row>
    <row r="136" spans="1:2" x14ac:dyDescent="0.25">
      <c r="A136" t="s">
        <v>43</v>
      </c>
      <c r="B136">
        <v>2023</v>
      </c>
    </row>
    <row r="137" spans="1:2" x14ac:dyDescent="0.25">
      <c r="A137" t="s">
        <v>44</v>
      </c>
      <c r="B137">
        <v>2019</v>
      </c>
    </row>
    <row r="138" spans="1:2" x14ac:dyDescent="0.25">
      <c r="A138" t="s">
        <v>44</v>
      </c>
      <c r="B138">
        <v>2020</v>
      </c>
    </row>
    <row r="139" spans="1:2" x14ac:dyDescent="0.25">
      <c r="A139" t="s">
        <v>44</v>
      </c>
      <c r="B139">
        <v>2021</v>
      </c>
    </row>
    <row r="140" spans="1:2" x14ac:dyDescent="0.25">
      <c r="A140" t="s">
        <v>44</v>
      </c>
      <c r="B140">
        <v>2022</v>
      </c>
    </row>
    <row r="141" spans="1:2" x14ac:dyDescent="0.25">
      <c r="A141" t="s">
        <v>44</v>
      </c>
      <c r="B141">
        <v>2023</v>
      </c>
    </row>
    <row r="142" spans="1:2" x14ac:dyDescent="0.25">
      <c r="A142" t="s">
        <v>45</v>
      </c>
      <c r="B142">
        <v>2019</v>
      </c>
    </row>
    <row r="143" spans="1:2" x14ac:dyDescent="0.25">
      <c r="A143" t="s">
        <v>45</v>
      </c>
      <c r="B143">
        <v>2020</v>
      </c>
    </row>
    <row r="144" spans="1:2" x14ac:dyDescent="0.25">
      <c r="A144" t="s">
        <v>45</v>
      </c>
      <c r="B144">
        <v>2021</v>
      </c>
    </row>
    <row r="145" spans="1:2" x14ac:dyDescent="0.25">
      <c r="A145" t="s">
        <v>45</v>
      </c>
      <c r="B145">
        <v>2022</v>
      </c>
    </row>
    <row r="146" spans="1:2" x14ac:dyDescent="0.25">
      <c r="A146" t="s">
        <v>45</v>
      </c>
      <c r="B146">
        <v>2023</v>
      </c>
    </row>
    <row r="147" spans="1:2" x14ac:dyDescent="0.25">
      <c r="A147" t="s">
        <v>46</v>
      </c>
      <c r="B147">
        <v>2019</v>
      </c>
    </row>
    <row r="148" spans="1:2" x14ac:dyDescent="0.25">
      <c r="A148" t="s">
        <v>46</v>
      </c>
      <c r="B148">
        <v>2020</v>
      </c>
    </row>
    <row r="149" spans="1:2" x14ac:dyDescent="0.25">
      <c r="A149" t="s">
        <v>46</v>
      </c>
      <c r="B149">
        <v>2021</v>
      </c>
    </row>
    <row r="150" spans="1:2" x14ac:dyDescent="0.25">
      <c r="A150" t="s">
        <v>46</v>
      </c>
      <c r="B150">
        <v>2022</v>
      </c>
    </row>
    <row r="151" spans="1:2" x14ac:dyDescent="0.25">
      <c r="A151" t="s">
        <v>46</v>
      </c>
      <c r="B151">
        <v>2023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Fiscal</dc:creator>
  <cp:lastModifiedBy>Fiscal</cp:lastModifiedBy>
  <dcterms:created xsi:type="dcterms:W3CDTF">2026-10-22T19:17:21Z</dcterms:created>
  <dcterms:modified xsi:type="dcterms:W3CDTF">2026-10-26T18:20:52Z</dcterms:modified>
</cp:coreProperties>
</file>