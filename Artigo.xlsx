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840" tabRatio="600" firstSheet="0" activeTab="0" autoFilterDateGrouping="1"/>
  </bookViews>
  <sheets>
    <sheet xmlns:r="http://schemas.openxmlformats.org/officeDocument/2006/relationships" name="Planilha1" sheetId="1" state="visible" r:id="rId1"/>
    <sheet xmlns:r="http://schemas.openxmlformats.org/officeDocument/2006/relationships" name="Python" sheetId="2" state="visible" r:id="rId2"/>
  </sheets>
  <definedNames>
    <definedName name="_xlnm._FilterDatabase" localSheetId="0" hidden="1">'Planilha1'!$C$2:$E$152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\ * #,##0.00_-;\-&quot;R$&quot;\ * #,##0.00_-;_-&quot;R$&quot;\ * &quot;-&quot;??_-;_-@_-"/>
  </numFmts>
  <fonts count="11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Segoe UI"/>
      <family val="2"/>
      <color indexed="81"/>
      <sz val="9"/>
    </font>
    <font>
      <name val="Segoe UI"/>
      <family val="2"/>
      <b val="1"/>
      <color indexed="81"/>
      <sz val="9"/>
    </font>
    <font>
      <name val="Aptos Narrow"/>
      <family val="2"/>
      <color theme="1"/>
      <sz val="10"/>
      <scheme val="minor"/>
    </font>
    <font>
      <name val="Aptos Narrow"/>
      <family val="2"/>
      <sz val="8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color rgb="FFFF0000"/>
      <sz val="10"/>
      <scheme val="minor"/>
    </font>
    <font>
      <name val="Arial"/>
      <family val="2"/>
      <color theme="1"/>
      <sz val="10"/>
    </font>
    <font>
      <name val="Aptos Narrow"/>
      <family val="2"/>
      <i val="1"/>
      <sz val="10"/>
      <scheme val="minor"/>
    </font>
    <font>
      <name val="Aptos Narrow"/>
      <family val="2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7" fillId="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4" fillId="0" borderId="0" pivotButton="0" quotePrefix="0" xfId="0"/>
    <xf numFmtId="164" fontId="0" fillId="0" borderId="0" pivotButton="0" quotePrefix="0" xfId="0"/>
    <xf numFmtId="164" fontId="8" fillId="0" borderId="0" pivotButton="0" quotePrefix="0" xfId="0"/>
    <xf numFmtId="164" fontId="0" fillId="0" borderId="1" pivotButton="0" quotePrefix="0" xfId="0"/>
    <xf numFmtId="164" fontId="8" fillId="0" borderId="1" pivotButton="0" quotePrefix="0" xfId="0"/>
    <xf numFmtId="0" fontId="9" fillId="0" borderId="3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6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6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2" borderId="5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164" fontId="0" fillId="0" borderId="1" pivotButton="0" quotePrefix="0" xfId="0"/>
    <xf numFmtId="164" fontId="0" fillId="0" borderId="2" pivotButton="0" quotePrefix="0" xfId="0"/>
    <xf numFmtId="0" fontId="0" fillId="0" borderId="12" pivotButton="0" quotePrefix="0" xfId="0"/>
    <xf numFmtId="0" fontId="0" fillId="0" borderId="7" pivotButton="0" quotePrefix="0" xfId="0"/>
    <xf numFmtId="0" fontId="0" fillId="0" borderId="4" pivotButton="0" quotePrefix="0" xfId="0"/>
    <xf numFmtId="164" fontId="0" fillId="0" borderId="0" pivotButton="0" quotePrefix="0" xfId="0"/>
    <xf numFmtId="0" fontId="0" fillId="0" borderId="9" pivotButton="0" quotePrefix="0" xfId="0"/>
    <xf numFmtId="164" fontId="8" fillId="0" borderId="0" pivotButton="0" quotePrefix="0" xfId="0"/>
    <xf numFmtId="0" fontId="0" fillId="0" borderId="10" pivotButton="0" quotePrefix="0" xfId="0"/>
    <xf numFmtId="164" fontId="0" fillId="0" borderId="1" pivotButton="0" quotePrefix="0" xfId="0"/>
    <xf numFmtId="164" fontId="8" fillId="0" borderId="1" pivotButton="0" quotePrefix="0" xfId="0"/>
    <xf numFmtId="164" fontId="0" fillId="0" borderId="2" pivotButton="0" quotePrefix="0" xfId="0"/>
    <xf numFmtId="0" fontId="7" fillId="0" borderId="1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Gessiany Lima de Freitas</author>
  </authors>
  <commentList>
    <comment ref="C2" authorId="0" shapeId="0">
      <text>
        <t>Gessiany Lima de Freitas:
Código da ação na B3</t>
      </text>
    </comment>
    <comment ref="D2" authorId="0" shapeId="0">
      <text>
        <t>Gessiany Lima de Freitas:
2019 A 2023 = 5 ANOS</t>
      </text>
    </comment>
    <comment ref="E2" authorId="0" shapeId="0">
      <text>
        <t>Gessiany Lima de Freitas:
Variável Dummy: 1 (setor mais poluente); 0 (setor menos poluente)</t>
      </text>
    </comment>
    <comment ref="F2" authorId="0" shapeId="0">
      <text>
        <t>Gessiany Lima de Freitas:
Volume total de empréstimos e financiamentos (curto + longo prazo)</t>
      </text>
    </comment>
    <comment ref="G2" authorId="0" shapeId="0">
      <text>
        <t>Gessiany Lima de Freitas:
Montante que a empresa pagou efetivamente de juros no ano</t>
      </text>
    </comment>
    <comment ref="H2" authorId="0" shapeId="0">
      <text>
        <t>Gessiany Lima de Freitas:
Variável de controle: tamanho da firma</t>
      </text>
    </comment>
    <comment ref="I2" authorId="0" shapeId="0">
      <text>
        <t>Gessiany Lima de Freitas:
Capital próprio dos acionistas</t>
      </text>
    </comment>
    <comment ref="J2" authorId="0" shapeId="0">
      <text>
        <t>Gessiany Lima de Freitas:
Variável de controle</t>
      </text>
    </comment>
    <comment ref="K2" authorId="0" shapeId="0">
      <text>
        <t xml:space="preserve">Gessiany Lima de Freitas:
- Variável Moderadora (Governança)
- 1 se estava no índice ISE B3 no ano, 0 se não estava
</t>
      </text>
    </comment>
    <comment ref="L2" authorId="0" shapeId="0">
      <text>
        <t>Gessiany Lima de Freitas:
Variável Explicativa Principal (Disclosure): 1 (se a empresa publicou um inventário de emissões de carbono auditado no ano); e 0 (se não publicou).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2"/>
  <sheetViews>
    <sheetView tabSelected="1" zoomScale="80" zoomScaleNormal="80" workbookViewId="0">
      <selection activeCell="H10" sqref="H10"/>
    </sheetView>
  </sheetViews>
  <sheetFormatPr baseColWidth="8" defaultRowHeight="15"/>
  <cols>
    <col width="11.42578125" customWidth="1" style="30" min="1" max="1"/>
    <col width="9.5703125" customWidth="1" style="30" min="2" max="2"/>
    <col width="12.7109375" bestFit="1" customWidth="1" style="28" min="3" max="3"/>
    <col width="5.5703125" bestFit="1" customWidth="1" style="30" min="4" max="4"/>
    <col width="14.42578125" customWidth="1" style="30" min="5" max="5"/>
    <col width="20.140625" bestFit="1" customWidth="1" style="30" min="6" max="6"/>
    <col width="27.140625" bestFit="1" customWidth="1" style="30" min="7" max="7"/>
    <col width="18.5703125" bestFit="1" customWidth="1" style="30" min="8" max="8"/>
    <col width="26.42578125" bestFit="1" customWidth="1" style="30" min="9" max="9"/>
    <col width="21.42578125" bestFit="1" customWidth="1" style="30" min="10" max="10"/>
    <col width="8.28515625" bestFit="1" customWidth="1" style="30" min="11" max="11"/>
    <col width="13.7109375" bestFit="1" customWidth="1" style="30" min="12" max="12"/>
    <col width="13.140625" customWidth="1" style="30" min="13" max="13"/>
    <col width="16.28515625" bestFit="1" customWidth="1" style="30" min="14" max="14"/>
    <col width="15.85546875" bestFit="1" customWidth="1" style="30" min="15" max="15"/>
    <col width="16.28515625" bestFit="1" customWidth="1" style="30" min="16" max="16"/>
  </cols>
  <sheetData>
    <row r="1" ht="13.5" customFormat="1" customHeight="1" s="9">
      <c r="C1" s="25" t="inlineStr">
        <is>
          <t>Identificação</t>
        </is>
      </c>
      <c r="D1" s="35" t="n"/>
      <c r="E1" s="36" t="n"/>
      <c r="F1" s="22" t="inlineStr">
        <is>
          <t>Contabilidade</t>
        </is>
      </c>
      <c r="G1" s="35" t="n"/>
      <c r="H1" s="35" t="n"/>
      <c r="I1" s="35" t="n"/>
      <c r="J1" s="36" t="n"/>
      <c r="K1" s="22" t="inlineStr">
        <is>
          <t xml:space="preserve">Qualidade </t>
        </is>
      </c>
      <c r="L1" s="36" t="n"/>
      <c r="M1" s="14" t="inlineStr">
        <is>
          <t>Varíável Y</t>
        </is>
      </c>
      <c r="N1" s="14" t="inlineStr">
        <is>
          <t>Var. de Controle 1</t>
        </is>
      </c>
      <c r="O1" s="14" t="inlineStr">
        <is>
          <t>Var. de Controle 2</t>
        </is>
      </c>
      <c r="P1" s="14" t="inlineStr">
        <is>
          <t>Var. de Controle 3</t>
        </is>
      </c>
    </row>
    <row r="2" customFormat="1" s="5">
      <c r="A2" s="24" t="n"/>
      <c r="B2" s="37" t="n"/>
      <c r="C2" s="27" t="inlineStr">
        <is>
          <t xml:space="preserve">Ticker </t>
        </is>
      </c>
      <c r="D2" s="7" t="inlineStr">
        <is>
          <t>Ano</t>
        </is>
      </c>
      <c r="E2" s="7" t="inlineStr">
        <is>
          <t>Setor_Intensivo</t>
        </is>
      </c>
      <c r="F2" s="8" t="inlineStr">
        <is>
          <t>Divida_Bruta (R$ mil)</t>
        </is>
      </c>
      <c r="G2" s="8" t="inlineStr">
        <is>
          <t>Despesa_Financeira (R$ mil)</t>
        </is>
      </c>
      <c r="H2" s="8" t="inlineStr">
        <is>
          <t>Ativo_Total (R$ mil)</t>
        </is>
      </c>
      <c r="I2" s="8" t="inlineStr">
        <is>
          <t>Patrimonio_Liquido (R$ mil)</t>
        </is>
      </c>
      <c r="J2" s="8" t="inlineStr">
        <is>
          <t>Lucro_Liquido (R$ mil)</t>
        </is>
      </c>
      <c r="K2" s="29" t="inlineStr">
        <is>
          <t>Gov_ISE</t>
        </is>
      </c>
      <c r="L2" s="29" t="inlineStr">
        <is>
          <t>Disc_Carbono</t>
        </is>
      </c>
      <c r="M2" s="15" t="inlineStr">
        <is>
          <t>Custo_Dívida</t>
        </is>
      </c>
      <c r="N2" s="15" t="inlineStr">
        <is>
          <t>ROA</t>
        </is>
      </c>
      <c r="O2" s="15" t="inlineStr">
        <is>
          <t>Alavancagem</t>
        </is>
      </c>
      <c r="P2" s="15" t="inlineStr">
        <is>
          <t>Tam_Ativo</t>
        </is>
      </c>
    </row>
    <row r="3">
      <c r="A3" s="17" t="inlineStr">
        <is>
          <t xml:space="preserve">GRUPO_1: CARBONO-INTENSIVOS </t>
        </is>
      </c>
      <c r="B3" s="16" t="inlineStr">
        <is>
          <t>Mineração e Siderurgia</t>
        </is>
      </c>
      <c r="C3" s="27" t="inlineStr">
        <is>
          <t>VALE3</t>
        </is>
      </c>
      <c r="D3" t="n">
        <v>2019</v>
      </c>
      <c r="E3" t="n">
        <v>1</v>
      </c>
      <c r="F3" s="38">
        <f>5804801+54037929</f>
        <v/>
      </c>
      <c r="G3" s="38" t="n">
        <v>-15536478</v>
      </c>
      <c r="H3" s="38" t="n">
        <v>369670328</v>
      </c>
      <c r="I3" s="38" t="n">
        <v>157149353</v>
      </c>
      <c r="J3" s="38" t="n">
        <v>-8696040</v>
      </c>
      <c r="K3" t="n">
        <v>0</v>
      </c>
      <c r="L3" t="n">
        <v>1</v>
      </c>
      <c r="M3">
        <f>ABS(G3)/F3</f>
        <v/>
      </c>
      <c r="N3">
        <f>J3/H3</f>
        <v/>
      </c>
      <c r="O3">
        <f>F3/I3</f>
        <v/>
      </c>
      <c r="P3">
        <f>LN(H3)</f>
        <v/>
      </c>
    </row>
    <row r="4">
      <c r="A4" s="39" t="n"/>
      <c r="B4" s="39" t="n"/>
      <c r="C4" s="39" t="n"/>
      <c r="D4" t="n">
        <v>2020</v>
      </c>
      <c r="E4" t="n">
        <v>1</v>
      </c>
      <c r="F4" s="38">
        <f>5901375+72187720</f>
        <v/>
      </c>
      <c r="G4" s="38" t="n">
        <v>-26062458</v>
      </c>
      <c r="H4" s="40" t="n">
        <v>478129515</v>
      </c>
      <c r="I4" s="38" t="n">
        <v>180985984</v>
      </c>
      <c r="J4" s="38" t="n">
        <v>24902341</v>
      </c>
      <c r="K4" t="n">
        <v>0</v>
      </c>
      <c r="L4" t="n">
        <v>1</v>
      </c>
      <c r="M4">
        <f>ABS(G4)/F4</f>
        <v/>
      </c>
      <c r="N4">
        <f>J4/H4</f>
        <v/>
      </c>
      <c r="O4">
        <f>F4/I4</f>
        <v/>
      </c>
      <c r="P4">
        <f>LN(H4)</f>
        <v/>
      </c>
    </row>
    <row r="5">
      <c r="A5" s="39" t="n"/>
      <c r="B5" s="39" t="n"/>
      <c r="C5" s="39" t="n"/>
      <c r="D5" t="n">
        <v>2021</v>
      </c>
      <c r="E5" t="n">
        <v>1</v>
      </c>
      <c r="F5" s="38">
        <f>6720000+70189000</f>
        <v/>
      </c>
      <c r="G5" s="38" t="n">
        <v>15990000</v>
      </c>
      <c r="H5" s="40" t="n">
        <v>499128000</v>
      </c>
      <c r="I5" s="38" t="n">
        <v>197058000</v>
      </c>
      <c r="J5" s="38" t="n">
        <v>121343000</v>
      </c>
      <c r="K5" t="n">
        <v>0</v>
      </c>
      <c r="L5" t="n">
        <v>1</v>
      </c>
      <c r="M5">
        <f>ABS(G5)/F5</f>
        <v/>
      </c>
      <c r="N5">
        <f>J5/H5</f>
        <v/>
      </c>
      <c r="O5">
        <f>F5/I5</f>
        <v/>
      </c>
      <c r="P5">
        <f>LN(H5)</f>
        <v/>
      </c>
    </row>
    <row r="6">
      <c r="A6" s="39" t="n"/>
      <c r="B6" s="39" t="n"/>
      <c r="C6" s="39" t="n"/>
      <c r="D6" t="n">
        <v>2022</v>
      </c>
      <c r="E6" t="n">
        <v>1</v>
      </c>
      <c r="F6" s="38">
        <f>2552000+63778000</f>
        <v/>
      </c>
      <c r="G6" s="38" t="n">
        <v>8693000</v>
      </c>
      <c r="H6" s="40" t="n">
        <v>453387000</v>
      </c>
      <c r="I6" s="38" t="n">
        <v>194894000</v>
      </c>
      <c r="J6" s="38" t="n">
        <v>96337000</v>
      </c>
      <c r="K6" t="n">
        <v>0</v>
      </c>
      <c r="L6" t="n">
        <v>1</v>
      </c>
      <c r="M6">
        <f>ABS(G6)/F6</f>
        <v/>
      </c>
      <c r="N6">
        <f>J6/H6</f>
        <v/>
      </c>
      <c r="O6">
        <f>F6/I6</f>
        <v/>
      </c>
      <c r="P6">
        <f>LN(H6)</f>
        <v/>
      </c>
    </row>
    <row r="7">
      <c r="A7" s="39" t="n"/>
      <c r="B7" s="39" t="n"/>
      <c r="C7" s="41" t="n"/>
      <c r="D7" s="1" t="n">
        <v>2023</v>
      </c>
      <c r="E7" s="1" t="n">
        <v>1</v>
      </c>
      <c r="F7" s="42">
        <f>4940000+62464000</f>
        <v/>
      </c>
      <c r="G7" s="42" t="n">
        <v>-11877000</v>
      </c>
      <c r="H7" s="43" t="n">
        <v>455984000</v>
      </c>
      <c r="I7" s="42" t="n">
        <v>198325000</v>
      </c>
      <c r="J7" s="42" t="n">
        <v>40554000</v>
      </c>
      <c r="K7" t="n">
        <v>0</v>
      </c>
      <c r="L7" t="n">
        <v>1</v>
      </c>
      <c r="M7">
        <f>ABS(G7)/F7</f>
        <v/>
      </c>
      <c r="N7">
        <f>J7/H7</f>
        <v/>
      </c>
      <c r="O7">
        <f>F7/I7</f>
        <v/>
      </c>
      <c r="P7">
        <f>LN(H7)</f>
        <v/>
      </c>
    </row>
    <row r="8">
      <c r="A8" s="39" t="n"/>
      <c r="B8" s="39" t="n"/>
      <c r="C8" s="27" t="inlineStr">
        <is>
          <t>CSNA3</t>
        </is>
      </c>
      <c r="D8" t="n">
        <v>2019</v>
      </c>
      <c r="E8" t="n">
        <v>1</v>
      </c>
      <c r="F8" s="38">
        <f>5125843+22841193</f>
        <v/>
      </c>
      <c r="G8" s="38" t="n">
        <v>-2510226</v>
      </c>
      <c r="H8" s="38" t="n">
        <v>50869276</v>
      </c>
      <c r="I8" s="38" t="n">
        <v>11361932</v>
      </c>
      <c r="J8" s="38" t="n">
        <v>2244511</v>
      </c>
      <c r="K8" t="n">
        <v>0</v>
      </c>
      <c r="L8" t="n">
        <v>1</v>
      </c>
      <c r="M8">
        <f>ABS(G8)/F8</f>
        <v/>
      </c>
      <c r="N8">
        <f>J8/H8</f>
        <v/>
      </c>
      <c r="O8">
        <f>F8/I8</f>
        <v/>
      </c>
      <c r="P8">
        <f>LN(H8)</f>
        <v/>
      </c>
    </row>
    <row r="9">
      <c r="A9" s="39" t="n"/>
      <c r="B9" s="39" t="n"/>
      <c r="C9" s="39" t="n"/>
      <c r="D9" t="n">
        <v>2020</v>
      </c>
      <c r="E9" t="n">
        <v>1</v>
      </c>
      <c r="F9" s="38">
        <f>4126453+31144200</f>
        <v/>
      </c>
      <c r="G9" s="38" t="n">
        <v>-2599039</v>
      </c>
      <c r="H9" s="38" t="n">
        <v>63002149</v>
      </c>
      <c r="I9" s="38" t="n">
        <v>11251505</v>
      </c>
      <c r="J9" s="38" t="n">
        <v>4292618</v>
      </c>
      <c r="K9" t="n">
        <v>0</v>
      </c>
      <c r="L9" t="n">
        <v>1</v>
      </c>
      <c r="M9">
        <f>ABS(G9)/F9</f>
        <v/>
      </c>
      <c r="N9">
        <f>J9/H9</f>
        <v/>
      </c>
      <c r="O9">
        <f>F9/I9</f>
        <v/>
      </c>
      <c r="P9">
        <f>LN(H9)</f>
        <v/>
      </c>
    </row>
    <row r="10">
      <c r="A10" s="39" t="n"/>
      <c r="B10" s="39" t="n"/>
      <c r="C10" s="39" t="n"/>
      <c r="D10" t="n">
        <v>2021</v>
      </c>
      <c r="E10" t="n">
        <v>1</v>
      </c>
      <c r="F10" s="38">
        <f>5486859+27020663</f>
        <v/>
      </c>
      <c r="G10" s="38" t="n">
        <v>-3111368</v>
      </c>
      <c r="H10" s="38" t="n">
        <v>79379103</v>
      </c>
      <c r="I10" s="38" t="n">
        <v>23374389</v>
      </c>
      <c r="J10" s="38" t="n">
        <v>13595621</v>
      </c>
      <c r="K10" t="n">
        <v>0</v>
      </c>
      <c r="L10" t="n">
        <v>1</v>
      </c>
      <c r="M10">
        <f>ABS(G10)/F10</f>
        <v/>
      </c>
      <c r="N10">
        <f>J10/H10</f>
        <v/>
      </c>
      <c r="O10">
        <f>F10/I10</f>
        <v/>
      </c>
      <c r="P10">
        <f>LN(H10)</f>
        <v/>
      </c>
    </row>
    <row r="11">
      <c r="A11" s="39" t="n"/>
      <c r="B11" s="39" t="n"/>
      <c r="C11" s="39" t="n"/>
      <c r="D11" t="n">
        <v>2022</v>
      </c>
      <c r="E11" t="n">
        <v>1</v>
      </c>
      <c r="F11" s="38">
        <f>5193636+35725106</f>
        <v/>
      </c>
      <c r="G11" s="38" t="n">
        <v>-3436805</v>
      </c>
      <c r="H11" s="38" t="n">
        <v>85354359</v>
      </c>
      <c r="I11" s="38" t="n">
        <v>21816044</v>
      </c>
      <c r="J11" s="38" t="n">
        <v>2167698</v>
      </c>
      <c r="K11" t="n">
        <v>0</v>
      </c>
      <c r="L11" t="n">
        <v>1</v>
      </c>
      <c r="M11">
        <f>ABS(G11)/F11</f>
        <v/>
      </c>
      <c r="N11">
        <f>J11/H11</f>
        <v/>
      </c>
      <c r="O11">
        <f>F11/I11</f>
        <v/>
      </c>
      <c r="P11">
        <f>LN(H11)</f>
        <v/>
      </c>
    </row>
    <row r="12">
      <c r="A12" s="39" t="n"/>
      <c r="B12" s="39" t="n"/>
      <c r="C12" s="41" t="n"/>
      <c r="D12" s="1" t="n">
        <v>2023</v>
      </c>
      <c r="E12" s="1" t="n">
        <v>1</v>
      </c>
      <c r="F12" s="42">
        <f>7613367+37245708</f>
        <v/>
      </c>
      <c r="G12" s="42" t="n">
        <v>-5807129</v>
      </c>
      <c r="H12" s="42" t="n">
        <v>91529720</v>
      </c>
      <c r="I12" s="42" t="n">
        <v>19684838</v>
      </c>
      <c r="J12" s="42" t="n">
        <v>402649</v>
      </c>
      <c r="K12" t="n">
        <v>0</v>
      </c>
      <c r="L12" t="n">
        <v>1</v>
      </c>
      <c r="M12">
        <f>ABS(G12)/F12</f>
        <v/>
      </c>
      <c r="N12">
        <f>J12/H12</f>
        <v/>
      </c>
      <c r="O12">
        <f>F12/I12</f>
        <v/>
      </c>
      <c r="P12">
        <f>LN(H12)</f>
        <v/>
      </c>
    </row>
    <row r="13">
      <c r="A13" s="39" t="n"/>
      <c r="B13" s="39" t="n"/>
      <c r="C13" s="27" t="inlineStr">
        <is>
          <t>USIM5</t>
        </is>
      </c>
      <c r="D13" t="n">
        <v>2019</v>
      </c>
      <c r="E13" t="n">
        <v>1</v>
      </c>
      <c r="F13" s="38">
        <f>121333+4984905</f>
        <v/>
      </c>
      <c r="G13" s="38" t="n">
        <v>0</v>
      </c>
      <c r="H13" s="38" t="n">
        <v>26337032</v>
      </c>
      <c r="I13" s="38" t="n">
        <v>15565684</v>
      </c>
      <c r="J13" s="38" t="n">
        <v>376691</v>
      </c>
      <c r="K13" t="n">
        <v>0</v>
      </c>
      <c r="L13" t="n">
        <v>1</v>
      </c>
      <c r="M13">
        <f>ABS(G13)/F13</f>
        <v/>
      </c>
      <c r="N13">
        <f>J13/H13</f>
        <v/>
      </c>
      <c r="O13">
        <f>F13/I13</f>
        <v/>
      </c>
      <c r="P13">
        <f>LN(H13)</f>
        <v/>
      </c>
    </row>
    <row r="14">
      <c r="A14" s="39" t="n"/>
      <c r="B14" s="39" t="n"/>
      <c r="C14" s="39" t="n"/>
      <c r="D14" t="n">
        <v>2020</v>
      </c>
      <c r="E14" t="n">
        <v>1</v>
      </c>
      <c r="F14" s="38">
        <f>135952+5832410</f>
        <v/>
      </c>
      <c r="G14" s="38" t="n">
        <v>0</v>
      </c>
      <c r="H14" s="38" t="n">
        <v>29952137</v>
      </c>
      <c r="I14" s="38" t="n">
        <v>16838170</v>
      </c>
      <c r="J14" s="38" t="n">
        <v>1291743</v>
      </c>
      <c r="K14" t="n">
        <v>0</v>
      </c>
      <c r="L14" t="n">
        <v>1</v>
      </c>
      <c r="M14">
        <f>ABS(G14)/F14</f>
        <v/>
      </c>
      <c r="N14">
        <f>J14/H14</f>
        <v/>
      </c>
      <c r="O14">
        <f>F14/I14</f>
        <v/>
      </c>
      <c r="P14">
        <f>LN(H14)</f>
        <v/>
      </c>
    </row>
    <row r="15">
      <c r="A15" s="39" t="n"/>
      <c r="B15" s="39" t="n"/>
      <c r="C15" s="39" t="n"/>
      <c r="D15" t="n">
        <v>2021</v>
      </c>
      <c r="E15" t="n">
        <v>1</v>
      </c>
      <c r="F15" s="38">
        <f>171826+6127751</f>
        <v/>
      </c>
      <c r="G15" s="38" t="n">
        <v>0</v>
      </c>
      <c r="H15" s="38" t="n">
        <v>39481569</v>
      </c>
      <c r="I15" s="38" t="n">
        <v>24358503</v>
      </c>
      <c r="J15" s="38" t="n">
        <v>10059954</v>
      </c>
      <c r="K15" t="n">
        <v>0</v>
      </c>
      <c r="L15" t="n">
        <v>1</v>
      </c>
      <c r="M15">
        <f>ABS(G15)/F15</f>
        <v/>
      </c>
      <c r="N15">
        <f>J15/H15</f>
        <v/>
      </c>
      <c r="O15">
        <f>F15/I15</f>
        <v/>
      </c>
      <c r="P15">
        <f>LN(H15)</f>
        <v/>
      </c>
    </row>
    <row r="16">
      <c r="A16" s="39" t="n"/>
      <c r="B16" s="39" t="n"/>
      <c r="C16" s="39" t="n"/>
      <c r="D16" t="n">
        <v>2022</v>
      </c>
      <c r="E16" t="n">
        <v>1</v>
      </c>
      <c r="F16" s="38">
        <f>130975+6066582</f>
        <v/>
      </c>
      <c r="G16" s="38" t="n">
        <v>0</v>
      </c>
      <c r="H16" s="38" t="n">
        <v>40000451</v>
      </c>
      <c r="I16" s="38" t="n">
        <v>25887750</v>
      </c>
      <c r="J16" s="38" t="n">
        <v>2092889</v>
      </c>
      <c r="K16" t="n">
        <v>0</v>
      </c>
      <c r="L16" t="n">
        <v>1</v>
      </c>
      <c r="M16">
        <f>ABS(G16)/F16</f>
        <v/>
      </c>
      <c r="N16">
        <f>J16/H16</f>
        <v/>
      </c>
      <c r="O16">
        <f>F16/I16</f>
        <v/>
      </c>
      <c r="P16">
        <f>LN(H16)</f>
        <v/>
      </c>
    </row>
    <row r="17">
      <c r="A17" s="39" t="n"/>
      <c r="B17" s="39" t="n"/>
      <c r="C17" s="41" t="n"/>
      <c r="D17" s="1" t="n">
        <v>2023</v>
      </c>
      <c r="E17" s="1" t="n">
        <v>1</v>
      </c>
      <c r="F17" s="42">
        <f>122887+5793223</f>
        <v/>
      </c>
      <c r="G17" s="42" t="n">
        <v>0</v>
      </c>
      <c r="H17" s="42" t="n">
        <v>40161751</v>
      </c>
      <c r="I17" s="42" t="n">
        <v>26549437</v>
      </c>
      <c r="J17" s="42" t="n">
        <v>1640368</v>
      </c>
      <c r="K17" t="n">
        <v>1</v>
      </c>
      <c r="L17" t="n">
        <v>1</v>
      </c>
      <c r="M17">
        <f>ABS(G17)/F17</f>
        <v/>
      </c>
      <c r="N17">
        <f>J17/H17</f>
        <v/>
      </c>
      <c r="O17">
        <f>F17/I17</f>
        <v/>
      </c>
      <c r="P17">
        <f>LN(H17)</f>
        <v/>
      </c>
    </row>
    <row r="18">
      <c r="A18" s="39" t="n"/>
      <c r="B18" s="39" t="n"/>
      <c r="C18" s="27" t="inlineStr">
        <is>
          <t>GGBR4</t>
        </is>
      </c>
      <c r="D18" t="n">
        <v>2019</v>
      </c>
      <c r="E18" t="n">
        <v>1</v>
      </c>
      <c r="F18" s="38">
        <f>1562226+14487641</f>
        <v/>
      </c>
      <c r="G18" s="38" t="n">
        <v>-1732427</v>
      </c>
      <c r="H18" s="38" t="n">
        <v>54002970</v>
      </c>
      <c r="I18" s="38" t="n">
        <v>27173127</v>
      </c>
      <c r="J18" s="38" t="n">
        <v>1216887</v>
      </c>
      <c r="K18" t="n">
        <v>0</v>
      </c>
      <c r="L18" t="n">
        <v>1</v>
      </c>
      <c r="M18">
        <f>ABS(G18)/F18</f>
        <v/>
      </c>
      <c r="N18">
        <f>J18/H18</f>
        <v/>
      </c>
      <c r="O18">
        <f>F18/I18</f>
        <v/>
      </c>
      <c r="P18">
        <f>LN(H18)</f>
        <v/>
      </c>
    </row>
    <row r="19">
      <c r="A19" s="39" t="n"/>
      <c r="B19" s="39" t="n"/>
      <c r="C19" s="39" t="n"/>
      <c r="D19" t="n">
        <v>2020</v>
      </c>
      <c r="E19" t="n">
        <v>1</v>
      </c>
      <c r="F19" s="38">
        <f>1431506+16083845</f>
        <v/>
      </c>
      <c r="G19" s="38" t="n">
        <v>-1892799</v>
      </c>
      <c r="H19" s="38" t="n">
        <v>63123009</v>
      </c>
      <c r="I19" s="38" t="n">
        <v>31085210</v>
      </c>
      <c r="J19" s="38" t="n">
        <v>2388054</v>
      </c>
      <c r="K19" t="n">
        <v>0</v>
      </c>
      <c r="L19" t="n">
        <v>1</v>
      </c>
      <c r="M19">
        <f>ABS(G19)/F19</f>
        <v/>
      </c>
      <c r="N19">
        <f>J19/H19</f>
        <v/>
      </c>
      <c r="O19">
        <f>F19/I19</f>
        <v/>
      </c>
      <c r="P19">
        <f>LN(H19)</f>
        <v/>
      </c>
    </row>
    <row r="20">
      <c r="A20" s="39" t="n"/>
      <c r="B20" s="39" t="n"/>
      <c r="C20" s="39" t="n"/>
      <c r="D20" t="n">
        <v>2021</v>
      </c>
      <c r="E20" t="n">
        <v>1</v>
      </c>
      <c r="F20" s="38">
        <f>1766493+12273200</f>
        <v/>
      </c>
      <c r="G20" s="38" t="n">
        <v>-1806147</v>
      </c>
      <c r="H20" s="38" t="n">
        <v>73814613</v>
      </c>
      <c r="I20" s="38" t="n">
        <v>42815649</v>
      </c>
      <c r="J20" s="38" t="n">
        <v>15558938</v>
      </c>
      <c r="K20" t="n">
        <v>0</v>
      </c>
      <c r="L20" t="n">
        <v>1</v>
      </c>
      <c r="M20">
        <f>ABS(G20)/F20</f>
        <v/>
      </c>
      <c r="N20">
        <f>J20/H20</f>
        <v/>
      </c>
      <c r="O20">
        <f>F20/I20</f>
        <v/>
      </c>
      <c r="P20">
        <f>LN(H20)</f>
        <v/>
      </c>
    </row>
    <row r="21">
      <c r="A21" s="39" t="n"/>
      <c r="B21" s="39" t="n"/>
      <c r="C21" s="39" t="n"/>
      <c r="D21" t="n">
        <v>2022</v>
      </c>
      <c r="E21" t="n">
        <v>1</v>
      </c>
      <c r="F21" s="38">
        <f>3121148+9486242</f>
        <v/>
      </c>
      <c r="G21" s="38" t="n">
        <v>-2537867</v>
      </c>
      <c r="H21" s="38" t="n">
        <v>73798652</v>
      </c>
      <c r="I21" s="38" t="n">
        <v>46298193</v>
      </c>
      <c r="J21" s="38" t="n">
        <v>11479552</v>
      </c>
      <c r="K21" t="n">
        <v>0</v>
      </c>
      <c r="L21" t="n">
        <v>1</v>
      </c>
      <c r="M21">
        <f>ABS(G21)/F21</f>
        <v/>
      </c>
      <c r="N21">
        <f>J21/H21</f>
        <v/>
      </c>
      <c r="O21">
        <f>F21/I21</f>
        <v/>
      </c>
      <c r="P21">
        <f>LN(H21)</f>
        <v/>
      </c>
    </row>
    <row r="22">
      <c r="A22" s="39" t="n"/>
      <c r="B22" s="39" t="n"/>
      <c r="C22" s="41" t="n"/>
      <c r="D22" s="1" t="n">
        <v>2023</v>
      </c>
      <c r="E22" s="1" t="n">
        <v>1</v>
      </c>
      <c r="F22" s="42">
        <f>1797622+9095686</f>
        <v/>
      </c>
      <c r="G22" s="42" t="n">
        <v>-2262143</v>
      </c>
      <c r="H22" s="42" t="n">
        <v>74885144</v>
      </c>
      <c r="I22" s="42" t="n">
        <v>49238863</v>
      </c>
      <c r="J22" s="38" t="n">
        <v>7536983</v>
      </c>
      <c r="K22" t="n">
        <v>0</v>
      </c>
      <c r="L22" t="n">
        <v>1</v>
      </c>
      <c r="M22">
        <f>ABS(G22)/F22</f>
        <v/>
      </c>
      <c r="N22">
        <f>J22/H22</f>
        <v/>
      </c>
      <c r="O22">
        <f>F22/I22</f>
        <v/>
      </c>
      <c r="P22">
        <f>LN(H22)</f>
        <v/>
      </c>
    </row>
    <row r="23">
      <c r="A23" s="39" t="n"/>
      <c r="B23" s="39" t="n"/>
      <c r="C23" s="27" t="inlineStr">
        <is>
          <t>GOAU4</t>
        </is>
      </c>
      <c r="D23" t="n">
        <v>2019</v>
      </c>
      <c r="E23" t="n">
        <v>1</v>
      </c>
      <c r="F23" s="38">
        <f>1562226+14487641</f>
        <v/>
      </c>
      <c r="G23" s="38" t="n">
        <v>-1746822</v>
      </c>
      <c r="H23" s="38" t="n">
        <v>54048736</v>
      </c>
      <c r="I23" s="38" t="n">
        <v>27227253</v>
      </c>
      <c r="J23" s="38" t="n">
        <v>1196725</v>
      </c>
      <c r="K23" t="n">
        <v>0</v>
      </c>
      <c r="L23" t="n">
        <v>1</v>
      </c>
      <c r="M23">
        <f>ABS(G23)/F23</f>
        <v/>
      </c>
      <c r="N23">
        <f>J23/H23</f>
        <v/>
      </c>
      <c r="O23">
        <f>F23/I23</f>
        <v/>
      </c>
      <c r="P23">
        <f>LN(H23)</f>
        <v/>
      </c>
    </row>
    <row r="24">
      <c r="A24" s="39" t="n"/>
      <c r="B24" s="39" t="n"/>
      <c r="C24" s="39" t="n"/>
      <c r="D24" t="n">
        <v>2020</v>
      </c>
      <c r="E24" t="n">
        <v>1</v>
      </c>
      <c r="F24" s="38">
        <f>1431506+16083845</f>
        <v/>
      </c>
      <c r="G24" s="38" t="n">
        <v>-1893123</v>
      </c>
      <c r="H24" s="38" t="n">
        <v>64764475</v>
      </c>
      <c r="I24" s="38" t="n">
        <v>32624240</v>
      </c>
      <c r="J24" s="38" t="n">
        <v>2383590</v>
      </c>
      <c r="K24" t="n">
        <v>0</v>
      </c>
      <c r="L24" t="n">
        <v>1</v>
      </c>
      <c r="M24">
        <f>ABS(G24)/F24</f>
        <v/>
      </c>
      <c r="N24">
        <f>J24/H24</f>
        <v/>
      </c>
      <c r="O24">
        <f>F24/I24</f>
        <v/>
      </c>
      <c r="P24">
        <f>LN(H24)</f>
        <v/>
      </c>
    </row>
    <row r="25">
      <c r="A25" s="39" t="n"/>
      <c r="B25" s="39" t="n"/>
      <c r="C25" s="39" t="n"/>
      <c r="D25" t="n">
        <v>2021</v>
      </c>
      <c r="E25" t="n">
        <v>1</v>
      </c>
      <c r="F25" s="38">
        <f>1766493+12273200</f>
        <v/>
      </c>
      <c r="G25" s="38" t="n">
        <v>-1810574</v>
      </c>
      <c r="H25" s="38" t="n">
        <v>74612666</v>
      </c>
      <c r="I25" s="38" t="n">
        <v>43623062</v>
      </c>
      <c r="J25" s="38" t="n">
        <v>15554098</v>
      </c>
      <c r="K25" t="n">
        <v>0</v>
      </c>
      <c r="L25" t="n">
        <v>1</v>
      </c>
      <c r="M25">
        <f>ABS(G25)/F25</f>
        <v/>
      </c>
      <c r="N25">
        <f>J25/H25</f>
        <v/>
      </c>
      <c r="O25">
        <f>F25/I25</f>
        <v/>
      </c>
      <c r="P25">
        <f>LN(H25)</f>
        <v/>
      </c>
    </row>
    <row r="26">
      <c r="A26" s="39" t="n"/>
      <c r="B26" s="39" t="n"/>
      <c r="C26" s="39" t="n"/>
      <c r="D26" t="n">
        <v>2022</v>
      </c>
      <c r="E26" t="n">
        <v>1</v>
      </c>
      <c r="F26" s="38">
        <f>3121148+9486242</f>
        <v/>
      </c>
      <c r="G26" s="38" t="n">
        <v>-2542661</v>
      </c>
      <c r="H26" s="38" t="n">
        <v>74769525</v>
      </c>
      <c r="I26" s="38" t="n">
        <v>47289112</v>
      </c>
      <c r="J26" s="38" t="n">
        <v>11462284</v>
      </c>
      <c r="K26" t="n">
        <v>0</v>
      </c>
      <c r="L26" t="n">
        <v>1</v>
      </c>
      <c r="M26">
        <f>ABS(G26)/F26</f>
        <v/>
      </c>
      <c r="N26">
        <f>J26/H26</f>
        <v/>
      </c>
      <c r="O26">
        <f>F26/I26</f>
        <v/>
      </c>
      <c r="P26">
        <f>LN(H26)</f>
        <v/>
      </c>
    </row>
    <row r="27">
      <c r="A27" s="39" t="n"/>
      <c r="B27" s="41" t="n"/>
      <c r="C27" s="41" t="n"/>
      <c r="D27" s="1" t="n">
        <v>2023</v>
      </c>
      <c r="E27" s="1" t="n">
        <v>1</v>
      </c>
      <c r="F27" s="42">
        <f>1797622+9095686</f>
        <v/>
      </c>
      <c r="G27" s="42" t="n">
        <v>-2267852</v>
      </c>
      <c r="H27" s="42" t="n">
        <v>75232462</v>
      </c>
      <c r="I27" s="42" t="n">
        <v>49573439</v>
      </c>
      <c r="J27" s="42" t="n">
        <v>7585094</v>
      </c>
      <c r="K27" t="n">
        <v>0</v>
      </c>
      <c r="L27" t="n">
        <v>1</v>
      </c>
      <c r="M27">
        <f>ABS(G27)/F27</f>
        <v/>
      </c>
      <c r="N27">
        <f>J27/H27</f>
        <v/>
      </c>
      <c r="O27">
        <f>F27/I27</f>
        <v/>
      </c>
      <c r="P27">
        <f>LN(H27)</f>
        <v/>
      </c>
    </row>
    <row r="28">
      <c r="A28" s="39" t="n"/>
      <c r="B28" s="16" t="inlineStr">
        <is>
          <t>Petróleo e Combustíveis</t>
        </is>
      </c>
      <c r="C28" s="27" t="inlineStr">
        <is>
          <t>PETR4</t>
        </is>
      </c>
      <c r="D28" s="2" t="n">
        <v>2019</v>
      </c>
      <c r="E28" s="2" t="n">
        <v>1</v>
      </c>
      <c r="F28" s="44">
        <f>41139000+310022000</f>
        <v/>
      </c>
      <c r="G28" s="44" t="n">
        <v>-39730000</v>
      </c>
      <c r="H28" s="44" t="n">
        <v>926011000</v>
      </c>
      <c r="I28" s="44" t="n">
        <v>299137000</v>
      </c>
      <c r="J28" s="44" t="n">
        <v>40970000</v>
      </c>
      <c r="K28" t="n">
        <v>0</v>
      </c>
      <c r="L28" t="n">
        <v>1</v>
      </c>
      <c r="M28">
        <f>ABS(G28)/F28</f>
        <v/>
      </c>
      <c r="N28">
        <f>J28/H28</f>
        <v/>
      </c>
      <c r="O28">
        <f>F28/I28</f>
        <v/>
      </c>
      <c r="P28">
        <f>LN(H28)</f>
        <v/>
      </c>
    </row>
    <row r="29">
      <c r="A29" s="39" t="n"/>
      <c r="B29" s="39" t="n"/>
      <c r="C29" s="39" t="n"/>
      <c r="D29" t="n">
        <v>2020</v>
      </c>
      <c r="E29" t="n">
        <v>1</v>
      </c>
      <c r="F29" s="38">
        <f>51364000+341184000</f>
        <v/>
      </c>
      <c r="G29" s="38" t="n">
        <v>-52405000</v>
      </c>
      <c r="H29" s="38" t="n">
        <v>987419000</v>
      </c>
      <c r="I29" s="38" t="n">
        <v>311150000</v>
      </c>
      <c r="J29" s="38" t="n">
        <v>6246000</v>
      </c>
      <c r="K29" t="n">
        <v>0</v>
      </c>
      <c r="L29" t="n">
        <v>1</v>
      </c>
      <c r="M29">
        <f>ABS(G29)/F29</f>
        <v/>
      </c>
      <c r="N29">
        <f>J29/H29</f>
        <v/>
      </c>
      <c r="O29">
        <f>F29/I29</f>
        <v/>
      </c>
      <c r="P29">
        <f>LN(H29)</f>
        <v/>
      </c>
    </row>
    <row r="30">
      <c r="A30" s="39" t="n"/>
      <c r="B30" s="39" t="n"/>
      <c r="C30" s="39" t="n"/>
      <c r="D30" t="n">
        <v>2021</v>
      </c>
      <c r="E30" t="n">
        <v>1</v>
      </c>
      <c r="F30" s="38">
        <f>50631000+277187000</f>
        <v/>
      </c>
      <c r="G30" s="38" t="n">
        <v>-63714000</v>
      </c>
      <c r="H30" s="38" t="n">
        <v>972951000</v>
      </c>
      <c r="I30" s="38" t="n">
        <v>389581000</v>
      </c>
      <c r="J30" s="38" t="n">
        <v>107264000</v>
      </c>
      <c r="K30" t="n">
        <v>0</v>
      </c>
      <c r="L30" t="n">
        <v>1</v>
      </c>
      <c r="M30">
        <f>ABS(G30)/F30</f>
        <v/>
      </c>
      <c r="N30">
        <f>J30/H30</f>
        <v/>
      </c>
      <c r="O30">
        <f>F30/I30</f>
        <v/>
      </c>
      <c r="P30">
        <f>LN(H30)</f>
        <v/>
      </c>
    </row>
    <row r="31">
      <c r="A31" s="39" t="n"/>
      <c r="B31" s="39" t="n"/>
      <c r="C31" s="39" t="n"/>
      <c r="D31" t="n">
        <v>2022</v>
      </c>
      <c r="E31" t="n">
        <v>1</v>
      </c>
      <c r="F31" s="38">
        <f>47650000+233053000</f>
        <v/>
      </c>
      <c r="G31" s="38" t="n">
        <v>-28677000</v>
      </c>
      <c r="H31" s="38" t="n">
        <v>976709000</v>
      </c>
      <c r="I31" s="38" t="n">
        <v>364385000</v>
      </c>
      <c r="J31" s="38" t="n">
        <v>189005000</v>
      </c>
      <c r="K31" t="n">
        <v>0</v>
      </c>
      <c r="L31" t="n">
        <v>1</v>
      </c>
      <c r="M31">
        <f>ABS(G31)/F31</f>
        <v/>
      </c>
      <c r="N31">
        <f>J31/H31</f>
        <v/>
      </c>
      <c r="O31">
        <f>F31/I31</f>
        <v/>
      </c>
      <c r="P31">
        <f>LN(H31)</f>
        <v/>
      </c>
    </row>
    <row r="32">
      <c r="A32" s="39" t="n"/>
      <c r="B32" s="39" t="n"/>
      <c r="C32" s="41" t="n"/>
      <c r="D32" s="1" t="n">
        <v>2023</v>
      </c>
      <c r="E32" s="1" t="n">
        <v>1</v>
      </c>
      <c r="F32" s="42">
        <f>55781000+247281000</f>
        <v/>
      </c>
      <c r="G32" s="42" t="n">
        <v>-22682000</v>
      </c>
      <c r="H32" s="42" t="n">
        <v>1050888000</v>
      </c>
      <c r="I32" s="42" t="n">
        <v>382340000</v>
      </c>
      <c r="J32" s="42" t="n">
        <v>125166000</v>
      </c>
      <c r="K32" t="n">
        <v>0</v>
      </c>
      <c r="L32" t="n">
        <v>1</v>
      </c>
      <c r="M32">
        <f>ABS(G32)/F32</f>
        <v/>
      </c>
      <c r="N32">
        <f>J32/H32</f>
        <v/>
      </c>
      <c r="O32">
        <f>F32/I32</f>
        <v/>
      </c>
      <c r="P32">
        <f>LN(H32)</f>
        <v/>
      </c>
    </row>
    <row r="33">
      <c r="A33" s="39" t="n"/>
      <c r="B33" s="39" t="n"/>
      <c r="C33" s="27" t="inlineStr">
        <is>
          <t>PRIO3</t>
        </is>
      </c>
      <c r="D33" t="n">
        <v>2019</v>
      </c>
      <c r="E33" t="n">
        <v>1</v>
      </c>
      <c r="F33" s="38">
        <f>1447355+810703</f>
        <v/>
      </c>
      <c r="G33" s="38" t="n">
        <v>-714396</v>
      </c>
      <c r="H33" s="38" t="n">
        <v>5489751</v>
      </c>
      <c r="I33" s="38" t="n">
        <v>2165101</v>
      </c>
      <c r="J33" s="38" t="n">
        <v>842346</v>
      </c>
      <c r="K33" t="n">
        <v>0</v>
      </c>
      <c r="L33" t="n">
        <v>0</v>
      </c>
      <c r="M33">
        <f>ABS(G33)/F33</f>
        <v/>
      </c>
      <c r="N33">
        <f>J33/H33</f>
        <v/>
      </c>
      <c r="O33">
        <f>F33/I33</f>
        <v/>
      </c>
      <c r="P33">
        <f>LN(H33)</f>
        <v/>
      </c>
    </row>
    <row r="34">
      <c r="A34" s="39" t="n"/>
      <c r="B34" s="39" t="n"/>
      <c r="C34" s="39" t="n"/>
      <c r="D34" t="n">
        <v>2020</v>
      </c>
      <c r="E34" t="n">
        <v>1</v>
      </c>
      <c r="F34" s="38">
        <f>1772611+763208</f>
        <v/>
      </c>
      <c r="G34" s="38" t="n">
        <v>-1927820</v>
      </c>
      <c r="H34" s="38" t="n">
        <v>6792833</v>
      </c>
      <c r="I34" s="38" t="n">
        <v>3151263</v>
      </c>
      <c r="J34" s="38" t="n">
        <v>452913</v>
      </c>
      <c r="K34" t="n">
        <v>0</v>
      </c>
      <c r="L34" t="n">
        <v>0</v>
      </c>
      <c r="M34">
        <f>ABS(G34)/F34</f>
        <v/>
      </c>
      <c r="N34">
        <f>J34/H34</f>
        <v/>
      </c>
      <c r="O34">
        <f>F34/I34</f>
        <v/>
      </c>
      <c r="P34">
        <f>LN(H34)</f>
        <v/>
      </c>
    </row>
    <row r="35">
      <c r="A35" s="39" t="n"/>
      <c r="B35" s="39" t="n"/>
      <c r="C35" s="39" t="n"/>
      <c r="D35" t="n">
        <v>2021</v>
      </c>
      <c r="E35" t="n">
        <v>1</v>
      </c>
      <c r="F35" s="38">
        <f>106458+3794835</f>
        <v/>
      </c>
      <c r="G35" s="38" t="n">
        <v>-1568858</v>
      </c>
      <c r="H35" s="38" t="n">
        <v>12221416</v>
      </c>
      <c r="I35" s="38" t="n">
        <v>6620249</v>
      </c>
      <c r="J35" s="38" t="n">
        <v>1333046</v>
      </c>
      <c r="K35" t="n">
        <v>0</v>
      </c>
      <c r="L35" t="n">
        <v>0</v>
      </c>
      <c r="M35">
        <f>ABS(G35)/F35</f>
        <v/>
      </c>
      <c r="N35">
        <f>J35/H35</f>
        <v/>
      </c>
      <c r="O35">
        <f>F35/I35</f>
        <v/>
      </c>
      <c r="P35">
        <f>LN(H35)</f>
        <v/>
      </c>
    </row>
    <row r="36">
      <c r="A36" s="39" t="n"/>
      <c r="B36" s="39" t="n"/>
      <c r="C36" s="39" t="n"/>
      <c r="D36" t="n">
        <v>2022</v>
      </c>
      <c r="E36" t="n">
        <v>1</v>
      </c>
      <c r="F36" s="38">
        <f>498319+8724437</f>
        <v/>
      </c>
      <c r="G36" s="38" t="n">
        <v>-558099</v>
      </c>
      <c r="H36" s="38" t="n">
        <v>20302520</v>
      </c>
      <c r="I36" s="38" t="n">
        <v>9892017</v>
      </c>
      <c r="J36" s="38" t="n">
        <v>3427072</v>
      </c>
      <c r="K36" t="n">
        <v>0</v>
      </c>
      <c r="L36" s="31" t="n">
        <v>1</v>
      </c>
      <c r="M36">
        <f>ABS(G36)/F36</f>
        <v/>
      </c>
      <c r="N36">
        <f>J36/H36</f>
        <v/>
      </c>
      <c r="O36">
        <f>F36/I36</f>
        <v/>
      </c>
      <c r="P36">
        <f>LN(H36)</f>
        <v/>
      </c>
    </row>
    <row r="37">
      <c r="A37" s="39" t="n"/>
      <c r="B37" s="39" t="n"/>
      <c r="C37" s="41" t="n"/>
      <c r="D37" s="1" t="n">
        <v>2023</v>
      </c>
      <c r="E37" s="1" t="n">
        <v>1</v>
      </c>
      <c r="F37" s="42">
        <f>1476564+8077838</f>
        <v/>
      </c>
      <c r="G37" s="42" t="n">
        <v>-2576442</v>
      </c>
      <c r="H37" s="42" t="n">
        <v>28310932</v>
      </c>
      <c r="I37" s="42" t="n">
        <v>13878280</v>
      </c>
      <c r="J37" s="42" t="n">
        <v>5179905</v>
      </c>
      <c r="K37" t="n">
        <v>0</v>
      </c>
      <c r="L37" s="31" t="n">
        <v>1</v>
      </c>
      <c r="M37">
        <f>ABS(G37)/F37</f>
        <v/>
      </c>
      <c r="N37">
        <f>J37/H37</f>
        <v/>
      </c>
      <c r="O37">
        <f>F37/I37</f>
        <v/>
      </c>
      <c r="P37">
        <f>LN(H37)</f>
        <v/>
      </c>
    </row>
    <row r="38">
      <c r="A38" s="39" t="n"/>
      <c r="B38" s="39" t="n"/>
      <c r="C38" s="27" t="inlineStr">
        <is>
          <t>RECV3</t>
        </is>
      </c>
      <c r="D38" t="n">
        <v>2019</v>
      </c>
      <c r="E38" t="n">
        <v>1</v>
      </c>
      <c r="F38" s="38">
        <f>35320+708699</f>
        <v/>
      </c>
      <c r="G38" s="38" t="n">
        <v>-11358</v>
      </c>
      <c r="H38" s="38" t="n">
        <v>1863920</v>
      </c>
      <c r="I38" s="38" t="n">
        <v>961797</v>
      </c>
      <c r="J38" s="38" t="n">
        <v>63682</v>
      </c>
      <c r="K38" t="n">
        <v>0</v>
      </c>
      <c r="L38" t="n">
        <v>0</v>
      </c>
      <c r="M38">
        <f>ABS(G38)/F38</f>
        <v/>
      </c>
      <c r="N38">
        <f>J38/H38</f>
        <v/>
      </c>
      <c r="O38">
        <f>F38/I38</f>
        <v/>
      </c>
      <c r="P38">
        <f>LN(H38)</f>
        <v/>
      </c>
    </row>
    <row r="39">
      <c r="A39" s="39" t="n"/>
      <c r="B39" s="39" t="n"/>
      <c r="C39" s="39" t="n"/>
      <c r="D39" t="n">
        <v>2020</v>
      </c>
      <c r="E39" t="n">
        <v>1</v>
      </c>
      <c r="F39" s="38">
        <f>212931+681109</f>
        <v/>
      </c>
      <c r="G39" s="38" t="n">
        <v>-354197</v>
      </c>
      <c r="H39" s="38" t="n">
        <v>2080173</v>
      </c>
      <c r="I39" s="38" t="n">
        <v>980196</v>
      </c>
      <c r="J39" s="38" t="n">
        <v>-81759</v>
      </c>
      <c r="K39" t="n">
        <v>0</v>
      </c>
      <c r="L39" t="n">
        <v>0</v>
      </c>
      <c r="M39">
        <f>ABS(G39)/F39</f>
        <v/>
      </c>
      <c r="N39">
        <f>J39/H39</f>
        <v/>
      </c>
      <c r="O39">
        <f>F39/I39</f>
        <v/>
      </c>
      <c r="P39">
        <f>LN(H39)</f>
        <v/>
      </c>
    </row>
    <row r="40">
      <c r="A40" s="39" t="n"/>
      <c r="B40" s="39" t="n"/>
      <c r="C40" s="39" t="n"/>
      <c r="D40" t="n">
        <v>2021</v>
      </c>
      <c r="E40" t="n">
        <v>1</v>
      </c>
      <c r="F40" s="38">
        <f>281762+459529</f>
        <v/>
      </c>
      <c r="G40" s="38" t="n">
        <v>-158500</v>
      </c>
      <c r="H40" s="38" t="n">
        <v>4715393</v>
      </c>
      <c r="I40" s="38" t="n">
        <v>1871813</v>
      </c>
      <c r="J40" s="38" t="n">
        <v>176899</v>
      </c>
      <c r="K40" t="n">
        <v>0</v>
      </c>
      <c r="L40" t="n">
        <v>0</v>
      </c>
      <c r="M40">
        <f>ABS(G40)/F40</f>
        <v/>
      </c>
      <c r="N40">
        <f>J40/H40</f>
        <v/>
      </c>
      <c r="O40">
        <f>F40/I40</f>
        <v/>
      </c>
      <c r="P40">
        <f>LN(H40)</f>
        <v/>
      </c>
    </row>
    <row r="41">
      <c r="A41" s="39" t="n"/>
      <c r="B41" s="39" t="n"/>
      <c r="C41" s="39" t="n"/>
      <c r="D41" t="n">
        <v>2022</v>
      </c>
      <c r="E41" t="n">
        <v>1</v>
      </c>
      <c r="F41" s="38">
        <f>14011+641570</f>
        <v/>
      </c>
      <c r="G41" s="38" t="n">
        <v>-114294</v>
      </c>
      <c r="H41" s="38" t="n">
        <v>6585094</v>
      </c>
      <c r="I41" s="38" t="n">
        <v>3810502</v>
      </c>
      <c r="J41" s="38" t="n">
        <v>1153391</v>
      </c>
      <c r="K41" t="n">
        <v>0</v>
      </c>
      <c r="L41" s="31" t="n">
        <v>1</v>
      </c>
      <c r="M41">
        <f>ABS(G41)/F41</f>
        <v/>
      </c>
      <c r="N41">
        <f>J41/H41</f>
        <v/>
      </c>
      <c r="O41">
        <f>F41/I41</f>
        <v/>
      </c>
      <c r="P41">
        <f>LN(H41)</f>
        <v/>
      </c>
    </row>
    <row r="42">
      <c r="A42" s="39" t="n"/>
      <c r="B42" s="39" t="n"/>
      <c r="C42" s="41" t="n"/>
      <c r="D42" s="1" t="n">
        <v>2023</v>
      </c>
      <c r="E42" s="1" t="n">
        <v>1</v>
      </c>
      <c r="F42" s="42">
        <f>142772+760208</f>
        <v/>
      </c>
      <c r="G42" s="42" t="n">
        <v>-138039</v>
      </c>
      <c r="H42" s="42" t="n">
        <v>6829184</v>
      </c>
      <c r="I42" s="42" t="n">
        <v>4517883</v>
      </c>
      <c r="J42" s="42" t="n">
        <v>708938</v>
      </c>
      <c r="K42" t="n">
        <v>0</v>
      </c>
      <c r="L42" s="31" t="n">
        <v>1</v>
      </c>
      <c r="M42">
        <f>ABS(G42)/F42</f>
        <v/>
      </c>
      <c r="N42">
        <f>J42/H42</f>
        <v/>
      </c>
      <c r="O42">
        <f>F42/I42</f>
        <v/>
      </c>
      <c r="P42">
        <f>LN(H42)</f>
        <v/>
      </c>
    </row>
    <row r="43">
      <c r="A43" s="39" t="n"/>
      <c r="B43" s="39" t="n"/>
      <c r="C43" s="27" t="inlineStr">
        <is>
          <t>UGPA3</t>
        </is>
      </c>
      <c r="D43" t="n">
        <v>2019</v>
      </c>
      <c r="E43" t="n">
        <v>1</v>
      </c>
      <c r="F43" s="38">
        <f>1323837+14657558</f>
        <v/>
      </c>
      <c r="G43" s="38" t="n">
        <v>-964143</v>
      </c>
      <c r="H43" s="38" t="n">
        <v>31195472</v>
      </c>
      <c r="I43" s="38" t="n">
        <v>9835175</v>
      </c>
      <c r="J43" s="38" t="n">
        <v>402944</v>
      </c>
      <c r="K43" t="n">
        <v>0</v>
      </c>
      <c r="L43" s="31" t="n">
        <v>1</v>
      </c>
      <c r="M43">
        <f>ABS(G43)/F43</f>
        <v/>
      </c>
      <c r="N43">
        <f>J43/H43</f>
        <v/>
      </c>
      <c r="O43">
        <f>F43/I43</f>
        <v/>
      </c>
      <c r="P43">
        <f>LN(H43)</f>
        <v/>
      </c>
    </row>
    <row r="44">
      <c r="A44" s="39" t="n"/>
      <c r="B44" s="39" t="n"/>
      <c r="C44" s="39" t="n"/>
      <c r="D44" t="n">
        <v>2020</v>
      </c>
      <c r="E44" t="n">
        <v>1</v>
      </c>
      <c r="F44" s="38">
        <f>3516133+15693371</f>
        <v/>
      </c>
      <c r="G44" s="38" t="n">
        <v>-797084</v>
      </c>
      <c r="H44" s="38" t="n">
        <v>36250162</v>
      </c>
      <c r="I44" s="38" t="n">
        <v>9910265</v>
      </c>
      <c r="J44" s="38" t="n">
        <v>927697</v>
      </c>
      <c r="K44" t="n">
        <v>0</v>
      </c>
      <c r="L44" s="31" t="n">
        <v>1</v>
      </c>
      <c r="M44">
        <f>ABS(G44)/F44</f>
        <v/>
      </c>
      <c r="N44">
        <f>J44/H44</f>
        <v/>
      </c>
      <c r="O44">
        <f>F44/I44</f>
        <v/>
      </c>
      <c r="P44">
        <f>LN(H44)</f>
        <v/>
      </c>
    </row>
    <row r="45">
      <c r="A45" s="39" t="n"/>
      <c r="B45" s="39" t="n"/>
      <c r="C45" s="39" t="n"/>
      <c r="D45" t="n">
        <v>2021</v>
      </c>
      <c r="E45" t="n">
        <v>1</v>
      </c>
      <c r="F45" s="38">
        <f>3054883+14671071</f>
        <v/>
      </c>
      <c r="G45" s="38" t="n">
        <v>-1222886</v>
      </c>
      <c r="H45" s="38" t="n">
        <v>39010357</v>
      </c>
      <c r="I45" s="38" t="n">
        <v>10469240</v>
      </c>
      <c r="J45" s="38" t="n">
        <v>883878</v>
      </c>
      <c r="K45" t="n">
        <v>0</v>
      </c>
      <c r="L45" s="31" t="n">
        <v>1</v>
      </c>
      <c r="M45">
        <f>ABS(G45)/F45</f>
        <v/>
      </c>
      <c r="N45">
        <f>J45/H45</f>
        <v/>
      </c>
      <c r="O45">
        <f>F45/I45</f>
        <v/>
      </c>
      <c r="P45">
        <f>LN(H45)</f>
        <v/>
      </c>
    </row>
    <row r="46">
      <c r="A46" s="39" t="n"/>
      <c r="B46" s="39" t="n"/>
      <c r="C46" s="39" t="n"/>
      <c r="D46" t="n">
        <v>2022</v>
      </c>
      <c r="E46" t="n">
        <v>1</v>
      </c>
      <c r="F46" s="38">
        <f>3585711+9688419</f>
        <v/>
      </c>
      <c r="G46" s="38" t="n">
        <v>-2175897</v>
      </c>
      <c r="H46" s="38" t="n">
        <v>36441003</v>
      </c>
      <c r="I46" s="38" t="n">
        <v>12174968</v>
      </c>
      <c r="J46" s="38" t="n">
        <v>1840069</v>
      </c>
      <c r="K46" t="n">
        <v>1</v>
      </c>
      <c r="L46" s="31" t="n">
        <v>1</v>
      </c>
      <c r="M46">
        <f>ABS(G46)/F46</f>
        <v/>
      </c>
      <c r="N46">
        <f>J46/H46</f>
        <v/>
      </c>
      <c r="O46">
        <f>F46/I46</f>
        <v/>
      </c>
      <c r="P46">
        <f>LN(H46)</f>
        <v/>
      </c>
    </row>
    <row r="47">
      <c r="A47" s="39" t="n"/>
      <c r="B47" s="39" t="n"/>
      <c r="C47" s="41" t="n"/>
      <c r="D47" s="1" t="n">
        <v>2023</v>
      </c>
      <c r="E47" s="1" t="n">
        <v>1</v>
      </c>
      <c r="F47" s="42">
        <f>2304680+10987271</f>
        <v/>
      </c>
      <c r="G47" s="42" t="n">
        <v>-1880014</v>
      </c>
      <c r="H47" s="42" t="n">
        <v>38251974</v>
      </c>
      <c r="I47" s="42" t="n">
        <v>14029826</v>
      </c>
      <c r="J47" s="42" t="n">
        <v>2517753</v>
      </c>
      <c r="K47" t="n">
        <v>1</v>
      </c>
      <c r="L47" s="31" t="n">
        <v>1</v>
      </c>
      <c r="M47">
        <f>ABS(G47)/F47</f>
        <v/>
      </c>
      <c r="N47">
        <f>J47/H47</f>
        <v/>
      </c>
      <c r="O47">
        <f>F47/I47</f>
        <v/>
      </c>
      <c r="P47">
        <f>LN(H47)</f>
        <v/>
      </c>
    </row>
    <row r="48">
      <c r="A48" s="39" t="n"/>
      <c r="B48" s="39" t="n"/>
      <c r="C48" s="27" t="inlineStr">
        <is>
          <t>VBBR3</t>
        </is>
      </c>
      <c r="D48" t="n">
        <v>2019</v>
      </c>
      <c r="E48" t="n">
        <v>1</v>
      </c>
      <c r="F48" s="38">
        <f>4341000+2434000</f>
        <v/>
      </c>
      <c r="G48" s="38" t="n">
        <v>-578000</v>
      </c>
      <c r="H48" s="38" t="n">
        <v>25866000</v>
      </c>
      <c r="I48" s="38" t="n">
        <v>8766000</v>
      </c>
      <c r="J48" s="38" t="n">
        <v>2211000</v>
      </c>
      <c r="K48" t="n">
        <v>0</v>
      </c>
      <c r="L48" s="31" t="n">
        <v>1</v>
      </c>
      <c r="M48">
        <f>ABS(G48)/F48</f>
        <v/>
      </c>
      <c r="N48">
        <f>J48/H48</f>
        <v/>
      </c>
      <c r="O48">
        <f>F48/I48</f>
        <v/>
      </c>
      <c r="P48">
        <f>LN(H48)</f>
        <v/>
      </c>
    </row>
    <row r="49">
      <c r="A49" s="39" t="n"/>
      <c r="B49" s="39" t="n"/>
      <c r="C49" s="39" t="n"/>
      <c r="D49" t="n">
        <v>2020</v>
      </c>
      <c r="E49" t="n">
        <v>1</v>
      </c>
      <c r="F49" s="38">
        <f>2197000+6356000</f>
        <v/>
      </c>
      <c r="G49" s="38" t="n">
        <v>-186000</v>
      </c>
      <c r="H49" s="38" t="n">
        <v>28327000</v>
      </c>
      <c r="I49" s="38" t="n">
        <v>12207000</v>
      </c>
      <c r="J49" s="38" t="n">
        <v>3905000</v>
      </c>
      <c r="K49" t="n">
        <v>0</v>
      </c>
      <c r="L49" s="31" t="n">
        <v>1</v>
      </c>
      <c r="M49">
        <f>ABS(G49)/F49</f>
        <v/>
      </c>
      <c r="N49">
        <f>J49/H49</f>
        <v/>
      </c>
      <c r="O49">
        <f>F49/I49</f>
        <v/>
      </c>
      <c r="P49">
        <f>LN(H49)</f>
        <v/>
      </c>
    </row>
    <row r="50">
      <c r="A50" s="39" t="n"/>
      <c r="B50" s="39" t="n"/>
      <c r="C50" s="39" t="n"/>
      <c r="D50" t="n">
        <v>2021</v>
      </c>
      <c r="E50" t="n">
        <v>1</v>
      </c>
      <c r="F50" s="38">
        <f>1457000+12376000</f>
        <v/>
      </c>
      <c r="G50" s="38" t="n">
        <v>-1075000</v>
      </c>
      <c r="H50" s="38" t="n">
        <v>33884000</v>
      </c>
      <c r="I50" s="38" t="n">
        <v>12308000</v>
      </c>
      <c r="J50" s="38" t="n">
        <v>2497000</v>
      </c>
      <c r="K50" t="n">
        <v>0</v>
      </c>
      <c r="L50" s="31" t="n">
        <v>1</v>
      </c>
      <c r="M50">
        <f>ABS(G50)/F50</f>
        <v/>
      </c>
      <c r="N50">
        <f>J50/H50</f>
        <v/>
      </c>
      <c r="O50">
        <f>F50/I50</f>
        <v/>
      </c>
      <c r="P50">
        <f>LN(H50)</f>
        <v/>
      </c>
    </row>
    <row r="51">
      <c r="A51" s="39" t="n"/>
      <c r="B51" s="39" t="n"/>
      <c r="C51" s="39" t="n"/>
      <c r="D51" t="n">
        <v>2022</v>
      </c>
      <c r="E51" t="n">
        <v>1</v>
      </c>
      <c r="F51" s="38">
        <f>1802000+15589000</f>
        <v/>
      </c>
      <c r="G51" s="38" t="n">
        <v>-2728000</v>
      </c>
      <c r="H51" s="38" t="n">
        <v>41110000</v>
      </c>
      <c r="I51" s="38" t="n">
        <v>12613000</v>
      </c>
      <c r="J51" s="38" t="n">
        <v>1537000</v>
      </c>
      <c r="K51" t="n">
        <v>0</v>
      </c>
      <c r="L51" s="31" t="n">
        <v>1</v>
      </c>
      <c r="M51">
        <f>ABS(G51)/F51</f>
        <v/>
      </c>
      <c r="N51">
        <f>J51/H51</f>
        <v/>
      </c>
      <c r="O51">
        <f>F51/I51</f>
        <v/>
      </c>
      <c r="P51">
        <f>LN(H51)</f>
        <v/>
      </c>
    </row>
    <row r="52">
      <c r="A52" s="39" t="n"/>
      <c r="B52" s="41" t="n"/>
      <c r="C52" s="41" t="n"/>
      <c r="D52" s="1" t="n">
        <v>2023</v>
      </c>
      <c r="E52" s="1" t="n">
        <v>1</v>
      </c>
      <c r="F52" s="42">
        <f>1470000+14048000</f>
        <v/>
      </c>
      <c r="G52" s="42" t="n">
        <v>-2022000</v>
      </c>
      <c r="H52" s="42" t="n">
        <v>43481000</v>
      </c>
      <c r="I52" s="42" t="n">
        <v>15731000</v>
      </c>
      <c r="J52" s="42" t="n">
        <v>4766000</v>
      </c>
      <c r="K52" t="n">
        <v>0</v>
      </c>
      <c r="L52" s="31" t="n">
        <v>1</v>
      </c>
      <c r="M52">
        <f>ABS(G52)/F52</f>
        <v/>
      </c>
      <c r="N52">
        <f>J52/H52</f>
        <v/>
      </c>
      <c r="O52">
        <f>F52/I52</f>
        <v/>
      </c>
      <c r="P52">
        <f>LN(H52)</f>
        <v/>
      </c>
    </row>
    <row r="53" ht="15" customHeight="1" s="30">
      <c r="A53" s="39" t="n"/>
      <c r="B53" s="16" t="inlineStr">
        <is>
          <t>Papel e Celulose</t>
        </is>
      </c>
      <c r="C53" s="27" t="inlineStr">
        <is>
          <t>SUZB3</t>
        </is>
      </c>
      <c r="D53" s="2" t="n">
        <v>2019</v>
      </c>
      <c r="E53" s="2" t="n">
        <v>1</v>
      </c>
      <c r="F53" s="44">
        <f>6227951+57456375</f>
        <v/>
      </c>
      <c r="G53" s="44" t="n">
        <v>-7219027</v>
      </c>
      <c r="H53" s="44" t="n">
        <v>97908225</v>
      </c>
      <c r="I53" s="44" t="n">
        <v>18087969</v>
      </c>
      <c r="J53" s="44" t="n">
        <v>-2814742</v>
      </c>
      <c r="K53" t="n">
        <v>1</v>
      </c>
      <c r="L53" s="31" t="n">
        <v>1</v>
      </c>
      <c r="M53">
        <f>ABS(G53)/F53</f>
        <v/>
      </c>
      <c r="N53">
        <f>J53/H53</f>
        <v/>
      </c>
      <c r="O53">
        <f>F53/I53</f>
        <v/>
      </c>
      <c r="P53">
        <f>LN(H53)</f>
        <v/>
      </c>
    </row>
    <row r="54">
      <c r="A54" s="39" t="n"/>
      <c r="B54" s="39" t="n"/>
      <c r="C54" s="39" t="n"/>
      <c r="D54" t="n">
        <v>2020</v>
      </c>
      <c r="E54" t="n">
        <v>1</v>
      </c>
      <c r="F54" s="38">
        <f>2043386+70856496</f>
        <v/>
      </c>
      <c r="G54" s="38" t="n">
        <v>-26412998</v>
      </c>
      <c r="H54" s="38" t="n">
        <v>101800748</v>
      </c>
      <c r="I54" s="38" t="n">
        <v>7337378</v>
      </c>
      <c r="J54" s="38" t="n">
        <v>-10714935</v>
      </c>
      <c r="K54" t="n">
        <v>0</v>
      </c>
      <c r="L54" s="31" t="n">
        <v>1</v>
      </c>
      <c r="M54">
        <f>ABS(G54)/F54</f>
        <v/>
      </c>
      <c r="N54">
        <f>J54/H54</f>
        <v/>
      </c>
      <c r="O54">
        <f>F54/I54</f>
        <v/>
      </c>
      <c r="P54">
        <f>LN(H54)</f>
        <v/>
      </c>
    </row>
    <row r="55">
      <c r="A55" s="39" t="n"/>
      <c r="B55" s="39" t="n"/>
      <c r="C55" s="39" t="n"/>
      <c r="D55" t="n">
        <v>2021</v>
      </c>
      <c r="E55" t="n">
        <v>1</v>
      </c>
      <c r="F55" s="38">
        <f>3655537+75973092</f>
        <v/>
      </c>
      <c r="G55" s="38" t="n">
        <v>-9619790</v>
      </c>
      <c r="H55" s="38" t="n">
        <v>118975152</v>
      </c>
      <c r="I55" s="38" t="n">
        <v>15175130</v>
      </c>
      <c r="J55" s="38" t="n">
        <v>8635532</v>
      </c>
      <c r="K55" t="n">
        <v>1</v>
      </c>
      <c r="L55" s="31" t="n">
        <v>1</v>
      </c>
      <c r="M55">
        <f>ABS(G55)/F55</f>
        <v/>
      </c>
      <c r="N55">
        <f>J55/H55</f>
        <v/>
      </c>
      <c r="O55">
        <f>F55/I55</f>
        <v/>
      </c>
      <c r="P55">
        <f>LN(H55)</f>
        <v/>
      </c>
    </row>
    <row r="56">
      <c r="A56" s="39" t="n"/>
      <c r="B56" s="39" t="n"/>
      <c r="C56" s="39" t="n"/>
      <c r="D56" t="n">
        <v>2022</v>
      </c>
      <c r="E56" t="n">
        <v>1</v>
      </c>
      <c r="F56" s="38">
        <f>3335029+71239562</f>
        <v/>
      </c>
      <c r="G56" s="38" t="n">
        <v>-4590370</v>
      </c>
      <c r="H56" s="38" t="n">
        <v>133197968</v>
      </c>
      <c r="I56" s="38" t="n">
        <v>33166365</v>
      </c>
      <c r="J56" s="38" t="n">
        <v>23394887</v>
      </c>
      <c r="K56" t="n">
        <v>1</v>
      </c>
      <c r="L56" s="31" t="n">
        <v>1</v>
      </c>
      <c r="M56">
        <f>ABS(G56)/F56</f>
        <v/>
      </c>
      <c r="N56">
        <f>J56/H56</f>
        <v/>
      </c>
      <c r="O56">
        <f>F56/I56</f>
        <v/>
      </c>
      <c r="P56">
        <f>LN(H56)</f>
        <v/>
      </c>
    </row>
    <row r="57">
      <c r="A57" s="39" t="n"/>
      <c r="B57" s="39" t="n"/>
      <c r="C57" s="41" t="n"/>
      <c r="D57" s="1" t="n">
        <v>2023</v>
      </c>
      <c r="E57" s="1" t="n">
        <v>1</v>
      </c>
      <c r="F57" s="42">
        <f>4758247+72414445</f>
        <v/>
      </c>
      <c r="G57" s="42" t="n">
        <v>-4659162</v>
      </c>
      <c r="H57" s="42" t="n">
        <v>143593025</v>
      </c>
      <c r="I57" s="42" t="n">
        <v>44810300</v>
      </c>
      <c r="J57" s="42" t="n">
        <v>14106381</v>
      </c>
      <c r="K57" t="n">
        <v>1</v>
      </c>
      <c r="L57" s="31" t="n">
        <v>1</v>
      </c>
      <c r="M57">
        <f>ABS(G57)/F57</f>
        <v/>
      </c>
      <c r="N57">
        <f>J57/H57</f>
        <v/>
      </c>
      <c r="O57">
        <f>F57/I57</f>
        <v/>
      </c>
      <c r="P57">
        <f>LN(H57)</f>
        <v/>
      </c>
    </row>
    <row r="58">
      <c r="A58" s="39" t="n"/>
      <c r="B58" s="39" t="n"/>
      <c r="C58" s="27" t="inlineStr">
        <is>
          <t>KLBN11</t>
        </is>
      </c>
      <c r="D58" t="n">
        <v>2019</v>
      </c>
      <c r="E58" t="n">
        <v>1</v>
      </c>
      <c r="F58" s="38">
        <f>1274542+22810730</f>
        <v/>
      </c>
      <c r="G58" s="38" t="n">
        <v>-3003313</v>
      </c>
      <c r="H58" s="38" t="n">
        <v>34703082</v>
      </c>
      <c r="I58" s="38" t="n">
        <v>6501273</v>
      </c>
      <c r="J58" s="38" t="n">
        <v>714618</v>
      </c>
      <c r="K58" t="n">
        <v>1</v>
      </c>
      <c r="L58" s="31" t="n">
        <v>1</v>
      </c>
      <c r="M58">
        <f>ABS(G58)/F58</f>
        <v/>
      </c>
      <c r="N58">
        <f>J58/H58</f>
        <v/>
      </c>
      <c r="O58">
        <f>F58/I58</f>
        <v/>
      </c>
      <c r="P58">
        <f>LN(H58)</f>
        <v/>
      </c>
    </row>
    <row r="59">
      <c r="A59" s="39" t="n"/>
      <c r="B59" s="39" t="n"/>
      <c r="C59" s="39" t="n"/>
      <c r="D59" t="n">
        <v>2020</v>
      </c>
      <c r="E59" t="n">
        <v>1</v>
      </c>
      <c r="F59" s="38">
        <f>721021+25617969</f>
        <v/>
      </c>
      <c r="G59" s="38" t="n">
        <v>-7993765</v>
      </c>
      <c r="H59" s="38" t="n">
        <v>35270261</v>
      </c>
      <c r="I59" s="38" t="n">
        <v>4384761</v>
      </c>
      <c r="J59" s="38" t="n">
        <v>-2389490</v>
      </c>
      <c r="K59" t="n">
        <v>1</v>
      </c>
      <c r="L59" s="31" t="n">
        <v>1</v>
      </c>
      <c r="M59">
        <f>ABS(G59)/F59</f>
        <v/>
      </c>
      <c r="N59">
        <f>J59/H59</f>
        <v/>
      </c>
      <c r="O59">
        <f>F59/I59</f>
        <v/>
      </c>
      <c r="P59">
        <f>LN(H59)</f>
        <v/>
      </c>
    </row>
    <row r="60">
      <c r="A60" s="39" t="n"/>
      <c r="B60" s="39" t="n"/>
      <c r="C60" s="39" t="n"/>
      <c r="D60" t="n">
        <v>2021</v>
      </c>
      <c r="E60" t="n">
        <v>1</v>
      </c>
      <c r="F60" s="38">
        <f>1859300+27479119</f>
        <v/>
      </c>
      <c r="G60" s="38" t="n">
        <v>-1611638</v>
      </c>
      <c r="H60" s="38" t="n">
        <v>42075707</v>
      </c>
      <c r="I60" s="38" t="n">
        <v>7086227</v>
      </c>
      <c r="J60" s="38" t="n">
        <v>3404874</v>
      </c>
      <c r="K60" t="n">
        <v>1</v>
      </c>
      <c r="L60" s="31" t="n">
        <v>1</v>
      </c>
      <c r="M60">
        <f>ABS(G60)/F60</f>
        <v/>
      </c>
      <c r="N60">
        <f>J60/H60</f>
        <v/>
      </c>
      <c r="O60">
        <f>F60/I60</f>
        <v/>
      </c>
      <c r="P60">
        <f>LN(H60)</f>
        <v/>
      </c>
    </row>
    <row r="61">
      <c r="A61" s="39" t="n"/>
      <c r="B61" s="39" t="n"/>
      <c r="C61" s="39" t="n"/>
      <c r="D61" t="n">
        <v>2022</v>
      </c>
      <c r="E61" t="n">
        <v>1</v>
      </c>
      <c r="F61" s="38">
        <f>1952980+25587632</f>
        <v/>
      </c>
      <c r="G61" s="38" t="n">
        <v>-672145</v>
      </c>
      <c r="H61" s="38" t="n">
        <v>47577358</v>
      </c>
      <c r="I61" s="38" t="n">
        <v>11568266</v>
      </c>
      <c r="J61" s="38" t="n">
        <v>4688903</v>
      </c>
      <c r="K61" t="n">
        <v>1</v>
      </c>
      <c r="L61" s="31" t="n">
        <v>1</v>
      </c>
      <c r="M61">
        <f>ABS(G61)/F61</f>
        <v/>
      </c>
      <c r="N61">
        <f>J61/H61</f>
        <v/>
      </c>
      <c r="O61">
        <f>F61/I61</f>
        <v/>
      </c>
      <c r="P61">
        <f>LN(H61)</f>
        <v/>
      </c>
    </row>
    <row r="62">
      <c r="A62" s="39" t="n"/>
      <c r="B62" s="41" t="n"/>
      <c r="C62" s="41" t="n"/>
      <c r="D62" s="1" t="n">
        <v>2023</v>
      </c>
      <c r="E62" s="1" t="n">
        <v>1</v>
      </c>
      <c r="F62" s="42">
        <f>1560843+29780401</f>
        <v/>
      </c>
      <c r="G62" s="42" t="n">
        <v>-1026346</v>
      </c>
      <c r="H62" s="42" t="n">
        <v>55434690</v>
      </c>
      <c r="I62" s="42" t="n">
        <v>13732531</v>
      </c>
      <c r="J62" s="42" t="n">
        <v>2847388</v>
      </c>
      <c r="K62" t="n">
        <v>1</v>
      </c>
      <c r="L62" s="31" t="n">
        <v>1</v>
      </c>
      <c r="M62">
        <f>ABS(G62)/F62</f>
        <v/>
      </c>
      <c r="N62">
        <f>J62/H62</f>
        <v/>
      </c>
      <c r="O62">
        <f>F62/I62</f>
        <v/>
      </c>
      <c r="P62">
        <f>LN(H62)</f>
        <v/>
      </c>
    </row>
    <row r="63" ht="15" customHeight="1" s="30">
      <c r="A63" s="39" t="n"/>
      <c r="B63" s="16" t="inlineStr">
        <is>
          <t>Carnes e Proteínas</t>
        </is>
      </c>
      <c r="C63" s="27" t="inlineStr">
        <is>
          <t>JBSS3</t>
        </is>
      </c>
      <c r="D63" s="2" t="n">
        <v>2019</v>
      </c>
      <c r="E63" s="2" t="n">
        <v>1</v>
      </c>
      <c r="F63" s="44">
        <f>2078899+50949144</f>
        <v/>
      </c>
      <c r="G63" s="44" t="n">
        <v>-8066906</v>
      </c>
      <c r="H63" s="44" t="n">
        <v>126339387</v>
      </c>
      <c r="I63" s="44" t="n">
        <v>32482049</v>
      </c>
      <c r="J63" s="44" t="n">
        <v>6464854</v>
      </c>
      <c r="K63" t="n">
        <v>0</v>
      </c>
      <c r="L63" s="31" t="n">
        <v>0</v>
      </c>
      <c r="M63">
        <f>ABS(G63)/F63</f>
        <v/>
      </c>
      <c r="N63">
        <f>J63/H63</f>
        <v/>
      </c>
      <c r="O63">
        <f>F63/I63</f>
        <v/>
      </c>
      <c r="P63">
        <f>LN(H63)</f>
        <v/>
      </c>
    </row>
    <row r="64">
      <c r="A64" s="39" t="n"/>
      <c r="B64" s="39" t="n"/>
      <c r="C64" s="39" t="n"/>
      <c r="D64" t="n">
        <v>2020</v>
      </c>
      <c r="E64" t="n">
        <v>1</v>
      </c>
      <c r="F64" s="38">
        <f>4562101+61344604</f>
        <v/>
      </c>
      <c r="G64" s="38" t="n">
        <v>-15796346</v>
      </c>
      <c r="H64" s="38" t="n">
        <v>163801806</v>
      </c>
      <c r="I64" s="38" t="n">
        <v>43544189</v>
      </c>
      <c r="J64" s="38" t="n">
        <v>4654949</v>
      </c>
      <c r="K64" t="n">
        <v>0</v>
      </c>
      <c r="L64" s="31" t="n">
        <v>0</v>
      </c>
      <c r="M64">
        <f>ABS(G64)/F64</f>
        <v/>
      </c>
      <c r="N64">
        <f>J64/H64</f>
        <v/>
      </c>
      <c r="O64">
        <f>F64/I64</f>
        <v/>
      </c>
      <c r="P64">
        <f>LN(H64)</f>
        <v/>
      </c>
    </row>
    <row r="65">
      <c r="A65" s="39" t="n"/>
      <c r="B65" s="39" t="n"/>
      <c r="C65" s="39" t="n"/>
      <c r="D65" t="n">
        <v>2021</v>
      </c>
      <c r="E65" t="n">
        <v>1</v>
      </c>
      <c r="F65" s="38">
        <f>11914284+80603870</f>
        <v/>
      </c>
      <c r="G65" s="38" t="n">
        <v>-7382742</v>
      </c>
      <c r="H65" s="38" t="n">
        <v>207109116</v>
      </c>
      <c r="I65" s="38" t="n">
        <v>47796720</v>
      </c>
      <c r="J65" s="38" t="n">
        <v>20529653</v>
      </c>
      <c r="K65" t="n">
        <v>0</v>
      </c>
      <c r="L65" s="31" t="n">
        <v>1</v>
      </c>
      <c r="M65">
        <f>ABS(G65)/F65</f>
        <v/>
      </c>
      <c r="N65">
        <f>J65/H65</f>
        <v/>
      </c>
      <c r="O65">
        <f>F65/I65</f>
        <v/>
      </c>
      <c r="P65">
        <f>LN(H65)</f>
        <v/>
      </c>
    </row>
    <row r="66">
      <c r="A66" s="39" t="n"/>
      <c r="B66" s="39" t="n"/>
      <c r="C66" s="39" t="n"/>
      <c r="D66" t="n">
        <v>2022</v>
      </c>
      <c r="E66" t="n">
        <v>1</v>
      </c>
      <c r="F66" s="38">
        <f>8228557+84125504</f>
        <v/>
      </c>
      <c r="G66" s="38" t="n">
        <v>-10567455</v>
      </c>
      <c r="H66" s="38" t="n">
        <v>208110628</v>
      </c>
      <c r="I66" s="38" t="n">
        <v>49808931</v>
      </c>
      <c r="J66" s="38" t="n">
        <v>16201254</v>
      </c>
      <c r="K66" t="n">
        <v>1</v>
      </c>
      <c r="L66" s="31" t="n">
        <v>1</v>
      </c>
      <c r="M66">
        <f>ABS(G66)/F66</f>
        <v/>
      </c>
      <c r="N66">
        <f>J66/H66</f>
        <v/>
      </c>
      <c r="O66">
        <f>F66/I66</f>
        <v/>
      </c>
      <c r="P66">
        <f>LN(H66)</f>
        <v/>
      </c>
    </row>
    <row r="67">
      <c r="A67" s="39" t="n"/>
      <c r="B67" s="39" t="n"/>
      <c r="C67" s="41" t="n"/>
      <c r="D67" s="1" t="n">
        <v>2023</v>
      </c>
      <c r="E67" s="1" t="n">
        <v>1</v>
      </c>
      <c r="F67" s="42">
        <f>4316360+92505465</f>
        <v/>
      </c>
      <c r="G67" s="42" t="n">
        <v>-9661982</v>
      </c>
      <c r="H67" s="42" t="n">
        <v>206132069</v>
      </c>
      <c r="I67" s="42" t="n">
        <v>46998306</v>
      </c>
      <c r="J67" s="42" t="n">
        <v>-729145</v>
      </c>
      <c r="K67" t="n">
        <v>1</v>
      </c>
      <c r="L67" s="31" t="n">
        <v>1</v>
      </c>
      <c r="M67">
        <f>ABS(G67)/F67</f>
        <v/>
      </c>
      <c r="N67">
        <f>J67/H67</f>
        <v/>
      </c>
      <c r="O67">
        <f>F67/I67</f>
        <v/>
      </c>
      <c r="P67">
        <f>LN(H67)</f>
        <v/>
      </c>
    </row>
    <row r="68">
      <c r="A68" s="39" t="n"/>
      <c r="B68" s="39" t="n"/>
      <c r="C68" s="27" t="inlineStr">
        <is>
          <t>BRFS3</t>
        </is>
      </c>
      <c r="D68" t="n">
        <v>2019</v>
      </c>
      <c r="E68" t="n">
        <v>1</v>
      </c>
      <c r="F68" s="38">
        <f>3132029+15488250</f>
        <v/>
      </c>
      <c r="G68" s="38" t="n">
        <v>-3613051</v>
      </c>
      <c r="H68" s="38" t="n">
        <v>41700631</v>
      </c>
      <c r="I68" s="38" t="n">
        <v>8148349</v>
      </c>
      <c r="J68" s="38" t="n">
        <v>297452</v>
      </c>
      <c r="K68" t="n">
        <v>1</v>
      </c>
      <c r="L68" t="n">
        <v>1</v>
      </c>
      <c r="M68">
        <f>ABS(G68)/F68</f>
        <v/>
      </c>
      <c r="N68">
        <f>J68/H68</f>
        <v/>
      </c>
      <c r="O68">
        <f>F68/I68</f>
        <v/>
      </c>
      <c r="P68">
        <f>LN(H68)</f>
        <v/>
      </c>
    </row>
    <row r="69">
      <c r="A69" s="39" t="n"/>
      <c r="B69" s="39" t="n"/>
      <c r="C69" s="39" t="n"/>
      <c r="D69" t="n">
        <v>2020</v>
      </c>
      <c r="E69" t="n">
        <v>1</v>
      </c>
      <c r="F69" s="38">
        <f>1059984+21344442</f>
        <v/>
      </c>
      <c r="G69" s="38" t="n">
        <v>-2119752</v>
      </c>
      <c r="H69" s="38" t="n">
        <v>49664906</v>
      </c>
      <c r="I69" s="38" t="n">
        <v>8813534</v>
      </c>
      <c r="J69" s="38" t="n">
        <v>1390069</v>
      </c>
      <c r="K69" t="n">
        <v>1</v>
      </c>
      <c r="L69" t="n">
        <v>0</v>
      </c>
      <c r="M69">
        <f>ABS(G69)/F69</f>
        <v/>
      </c>
      <c r="N69">
        <f>J69/H69</f>
        <v/>
      </c>
      <c r="O69">
        <f>F69/I69</f>
        <v/>
      </c>
      <c r="P69">
        <f>LN(H69)</f>
        <v/>
      </c>
    </row>
    <row r="70">
      <c r="A70" s="39" t="n"/>
      <c r="B70" s="39" t="n"/>
      <c r="C70" s="39" t="n"/>
      <c r="D70" t="n">
        <v>2021</v>
      </c>
      <c r="E70" t="n">
        <v>1</v>
      </c>
      <c r="F70" s="38">
        <f>3203068+22252962</f>
        <v/>
      </c>
      <c r="G70" s="38" t="n">
        <v>-3582311</v>
      </c>
      <c r="H70" s="38" t="n">
        <v>55903387</v>
      </c>
      <c r="I70" s="38" t="n">
        <v>8825623</v>
      </c>
      <c r="J70" s="38" t="n">
        <v>437384</v>
      </c>
      <c r="K70" t="n">
        <v>0</v>
      </c>
      <c r="L70" t="n">
        <v>1</v>
      </c>
      <c r="M70">
        <f>ABS(G70)/F70</f>
        <v/>
      </c>
      <c r="N70">
        <f>J70/H70</f>
        <v/>
      </c>
      <c r="O70">
        <f>F70/I70</f>
        <v/>
      </c>
      <c r="P70">
        <f>LN(H70)</f>
        <v/>
      </c>
    </row>
    <row r="71">
      <c r="A71" s="39" t="n"/>
      <c r="B71" s="39" t="n"/>
      <c r="C71" s="39" t="n"/>
      <c r="D71" t="n">
        <v>2022</v>
      </c>
      <c r="E71" t="n">
        <v>1</v>
      </c>
      <c r="F71" s="38">
        <f>3879874+19637126</f>
        <v/>
      </c>
      <c r="G71" s="38" t="n">
        <v>-3751690</v>
      </c>
      <c r="H71" s="38" t="n">
        <v>57854447</v>
      </c>
      <c r="I71" s="38" t="n">
        <v>11822869</v>
      </c>
      <c r="J71" s="38" t="n">
        <v>-3141626</v>
      </c>
      <c r="K71" t="n">
        <v>0</v>
      </c>
      <c r="L71" t="n">
        <v>1</v>
      </c>
      <c r="M71">
        <f>ABS(G71)/F71</f>
        <v/>
      </c>
      <c r="N71">
        <f>J71/H71</f>
        <v/>
      </c>
      <c r="O71">
        <f>F71/I71</f>
        <v/>
      </c>
      <c r="P71">
        <f>LN(H71)</f>
        <v/>
      </c>
    </row>
    <row r="72">
      <c r="A72" s="39" t="n"/>
      <c r="B72" s="39" t="n"/>
      <c r="C72" s="41" t="n"/>
      <c r="D72" s="1" t="n">
        <v>2023</v>
      </c>
      <c r="E72" s="1" t="n">
        <v>1</v>
      </c>
      <c r="F72" s="42">
        <f>2451838+17643710</f>
        <v/>
      </c>
      <c r="G72" s="42" t="n">
        <v>-4023367</v>
      </c>
      <c r="H72" s="42" t="n">
        <v>57272090</v>
      </c>
      <c r="I72" s="42" t="n">
        <v>15643656</v>
      </c>
      <c r="J72" s="42" t="n">
        <v>-1868852</v>
      </c>
      <c r="K72" t="n">
        <v>1</v>
      </c>
      <c r="L72" t="n">
        <v>1</v>
      </c>
      <c r="M72">
        <f>ABS(G72)/F72</f>
        <v/>
      </c>
      <c r="N72">
        <f>J72/H72</f>
        <v/>
      </c>
      <c r="O72">
        <f>F72/I72</f>
        <v/>
      </c>
      <c r="P72">
        <f>LN(H72)</f>
        <v/>
      </c>
    </row>
    <row r="73">
      <c r="A73" s="39" t="n"/>
      <c r="B73" s="39" t="n"/>
      <c r="C73" s="27" t="inlineStr">
        <is>
          <t>MRFG3</t>
        </is>
      </c>
      <c r="D73" t="n">
        <v>2019</v>
      </c>
      <c r="E73" t="n">
        <v>1</v>
      </c>
      <c r="F73" s="38">
        <f>4725537+17514576</f>
        <v/>
      </c>
      <c r="G73" s="38" t="n">
        <v>-4172896</v>
      </c>
      <c r="H73" s="38" t="n">
        <v>31572021</v>
      </c>
      <c r="I73" s="38" t="n">
        <v>1776341</v>
      </c>
      <c r="J73" s="38" t="n">
        <v>1582239</v>
      </c>
      <c r="K73" t="n">
        <v>0</v>
      </c>
      <c r="L73" t="n">
        <v>0</v>
      </c>
      <c r="M73">
        <f>ABS(G73)/F73</f>
        <v/>
      </c>
      <c r="N73">
        <f>J73/H73</f>
        <v/>
      </c>
      <c r="O73">
        <f>F73/I73</f>
        <v/>
      </c>
      <c r="P73">
        <f>LN(H73)</f>
        <v/>
      </c>
    </row>
    <row r="74">
      <c r="A74" s="39" t="n"/>
      <c r="B74" s="39" t="n"/>
      <c r="C74" s="39" t="n"/>
      <c r="D74" t="n">
        <v>2020</v>
      </c>
      <c r="E74" t="n">
        <v>1</v>
      </c>
      <c r="F74" s="38">
        <f>6727521+20772056</f>
        <v/>
      </c>
      <c r="G74" s="38" t="n">
        <v>-5817548</v>
      </c>
      <c r="H74" s="38" t="n">
        <v>39507441</v>
      </c>
      <c r="I74" s="38" t="n">
        <v>3514063</v>
      </c>
      <c r="J74" s="38" t="n">
        <v>4530852</v>
      </c>
      <c r="K74" t="n">
        <v>0</v>
      </c>
      <c r="L74" t="n">
        <v>1</v>
      </c>
      <c r="M74">
        <f>ABS(G74)/F74</f>
        <v/>
      </c>
      <c r="N74">
        <f>J74/H74</f>
        <v/>
      </c>
      <c r="O74">
        <f>F74/I74</f>
        <v/>
      </c>
      <c r="P74">
        <f>LN(H74)</f>
        <v/>
      </c>
    </row>
    <row r="75">
      <c r="A75" s="39" t="n"/>
      <c r="B75" s="39" t="n"/>
      <c r="C75" s="39" t="n"/>
      <c r="D75" t="n">
        <v>2021</v>
      </c>
      <c r="E75" t="n">
        <v>1</v>
      </c>
      <c r="F75" s="38">
        <f>7003326+23964934</f>
        <v/>
      </c>
      <c r="G75" s="38" t="n">
        <v>-7615581</v>
      </c>
      <c r="H75" s="38" t="n">
        <v>48003258</v>
      </c>
      <c r="I75" s="38" t="n">
        <v>5571723</v>
      </c>
      <c r="J75" s="38" t="n">
        <v>6646379</v>
      </c>
      <c r="K75" t="n">
        <v>1</v>
      </c>
      <c r="L75" t="n">
        <v>1</v>
      </c>
      <c r="M75">
        <f>ABS(G75)/F75</f>
        <v/>
      </c>
      <c r="N75">
        <f>J75/H75</f>
        <v/>
      </c>
      <c r="O75">
        <f>F75/I75</f>
        <v/>
      </c>
      <c r="P75">
        <f>LN(H75)</f>
        <v/>
      </c>
    </row>
    <row r="76">
      <c r="A76" s="39" t="n"/>
      <c r="B76" s="39" t="n"/>
      <c r="C76" s="39" t="n"/>
      <c r="D76" t="n">
        <v>2022</v>
      </c>
      <c r="E76" t="n">
        <v>1</v>
      </c>
      <c r="F76" s="38">
        <f>13632827+51143062</f>
        <v/>
      </c>
      <c r="G76" s="38" t="n">
        <v>-18505932</v>
      </c>
      <c r="H76" s="38" t="n">
        <v>136104323</v>
      </c>
      <c r="I76" s="38" t="n">
        <v>26449609</v>
      </c>
      <c r="J76" s="38" t="n">
        <v>2762975</v>
      </c>
      <c r="K76" t="n">
        <v>1</v>
      </c>
      <c r="L76" t="n">
        <v>1</v>
      </c>
      <c r="M76">
        <f>ABS(G76)/F76</f>
        <v/>
      </c>
      <c r="N76">
        <f>J76/H76</f>
        <v/>
      </c>
      <c r="O76">
        <f>F76/I76</f>
        <v/>
      </c>
      <c r="P76">
        <f>LN(H76)</f>
        <v/>
      </c>
    </row>
    <row r="77">
      <c r="A77" s="39" t="n"/>
      <c r="B77" s="41" t="n"/>
      <c r="C77" s="41" t="n"/>
      <c r="D77" s="1" t="n">
        <v>2023</v>
      </c>
      <c r="E77" s="1" t="n">
        <v>1</v>
      </c>
      <c r="F77" s="42">
        <f>8589712+47234441</f>
        <v/>
      </c>
      <c r="G77" s="42" t="n">
        <v>-17123536</v>
      </c>
      <c r="H77" s="42" t="n">
        <v>130954636</v>
      </c>
      <c r="I77" s="42" t="n">
        <v>24889835</v>
      </c>
      <c r="J77" s="42" t="n">
        <v>-3621246</v>
      </c>
      <c r="K77" t="n">
        <v>1</v>
      </c>
      <c r="L77" t="n">
        <v>1</v>
      </c>
      <c r="M77">
        <f>ABS(G77)/F77</f>
        <v/>
      </c>
      <c r="N77">
        <f>J77/H77</f>
        <v/>
      </c>
      <c r="O77">
        <f>F77/I77</f>
        <v/>
      </c>
      <c r="P77">
        <f>LN(H77)</f>
        <v/>
      </c>
    </row>
    <row r="78" ht="15" customHeight="1" s="30">
      <c r="A78" s="39" t="n"/>
      <c r="B78" s="16" t="inlineStr">
        <is>
          <t>Energia Elétrica</t>
        </is>
      </c>
      <c r="C78" s="27" t="inlineStr">
        <is>
          <t>ELET3</t>
        </is>
      </c>
      <c r="D78" s="2" t="n">
        <v>2019</v>
      </c>
      <c r="E78" s="2" t="n">
        <v>1</v>
      </c>
      <c r="F78" s="44">
        <f>7934644+41172186</f>
        <v/>
      </c>
      <c r="G78" s="44" t="n">
        <v>-8740380</v>
      </c>
      <c r="H78" s="44" t="n">
        <v>177466715</v>
      </c>
      <c r="I78" s="44" t="n">
        <v>71394146</v>
      </c>
      <c r="J78" s="44" t="n">
        <v>10743843</v>
      </c>
      <c r="K78" t="n">
        <v>1</v>
      </c>
      <c r="L78" t="n">
        <v>1</v>
      </c>
      <c r="M78">
        <f>ABS(G78)/F78</f>
        <v/>
      </c>
      <c r="N78">
        <f>J78/H78</f>
        <v/>
      </c>
      <c r="O78">
        <f>F78/I78</f>
        <v/>
      </c>
      <c r="P78">
        <f>LN(H78)</f>
        <v/>
      </c>
    </row>
    <row r="79">
      <c r="A79" s="39" t="n"/>
      <c r="B79" s="39" t="n"/>
      <c r="C79" s="39" t="n"/>
      <c r="D79" t="n">
        <v>2020</v>
      </c>
      <c r="E79" t="n">
        <v>1</v>
      </c>
      <c r="F79" s="38">
        <f>11628072+36427155</f>
        <v/>
      </c>
      <c r="G79" s="38" t="n">
        <v>-10802169</v>
      </c>
      <c r="H79" s="38" t="n">
        <v>178966449</v>
      </c>
      <c r="I79" s="38" t="n">
        <v>73751294</v>
      </c>
      <c r="J79" s="38" t="n">
        <v>6387313</v>
      </c>
      <c r="K79" t="n">
        <v>1</v>
      </c>
      <c r="L79" t="n">
        <v>1</v>
      </c>
      <c r="M79">
        <f>ABS(G79)/F79</f>
        <v/>
      </c>
      <c r="N79">
        <f>J79/H79</f>
        <v/>
      </c>
      <c r="O79">
        <f>F79/I79</f>
        <v/>
      </c>
      <c r="P79">
        <f>LN(H79)</f>
        <v/>
      </c>
    </row>
    <row r="80">
      <c r="A80" s="39" t="n"/>
      <c r="B80" s="39" t="n"/>
      <c r="C80" s="39" t="n"/>
      <c r="D80" t="n">
        <v>2021</v>
      </c>
      <c r="E80" t="n">
        <v>1</v>
      </c>
      <c r="F80" s="38">
        <f>8444527+36474602</f>
        <v/>
      </c>
      <c r="G80" s="38" t="n">
        <v>-8495058</v>
      </c>
      <c r="H80" s="38" t="n">
        <v>188303069</v>
      </c>
      <c r="I80" s="38" t="n">
        <v>76416764</v>
      </c>
      <c r="J80" s="38" t="n">
        <v>5713633</v>
      </c>
      <c r="K80" t="n">
        <v>1</v>
      </c>
      <c r="L80" t="n">
        <v>1</v>
      </c>
      <c r="M80">
        <f>ABS(G80)/F80</f>
        <v/>
      </c>
      <c r="N80">
        <f>J80/H80</f>
        <v/>
      </c>
      <c r="O80">
        <f>F80/I80</f>
        <v/>
      </c>
      <c r="P80">
        <f>LN(H80)</f>
        <v/>
      </c>
    </row>
    <row r="81">
      <c r="A81" s="39" t="n"/>
      <c r="B81" s="39" t="n"/>
      <c r="C81" s="39" t="n"/>
      <c r="D81" t="n">
        <v>2022</v>
      </c>
      <c r="E81" t="n">
        <v>1</v>
      </c>
      <c r="F81" s="38">
        <f>7749089+52110601</f>
        <v/>
      </c>
      <c r="G81" s="38" t="n">
        <v>-10452838</v>
      </c>
      <c r="H81" s="38" t="n">
        <v>270217462</v>
      </c>
      <c r="I81" s="38" t="n">
        <v>111028636</v>
      </c>
      <c r="J81" s="38" t="n">
        <v>3638382</v>
      </c>
      <c r="K81" t="n">
        <v>1</v>
      </c>
      <c r="L81" t="n">
        <v>1</v>
      </c>
      <c r="M81">
        <f>ABS(G81)/F81</f>
        <v/>
      </c>
      <c r="N81">
        <f>J81/H81</f>
        <v/>
      </c>
      <c r="O81">
        <f>F81/I81</f>
        <v/>
      </c>
      <c r="P81">
        <f>LN(H81)</f>
        <v/>
      </c>
    </row>
    <row r="82">
      <c r="A82" s="39" t="n"/>
      <c r="B82" s="39" t="n"/>
      <c r="C82" s="41" t="n"/>
      <c r="D82" s="1" t="n">
        <v>2023</v>
      </c>
      <c r="E82" s="1" t="n">
        <v>1</v>
      </c>
      <c r="F82" s="42">
        <f>11374867+49622170</f>
        <v/>
      </c>
      <c r="G82" s="42" t="n">
        <v>-16309763</v>
      </c>
      <c r="H82" s="42" t="n">
        <v>267057654</v>
      </c>
      <c r="I82" s="42" t="n">
        <v>112464644</v>
      </c>
      <c r="J82" s="42" t="n">
        <v>4394861</v>
      </c>
      <c r="K82" t="n">
        <v>1</v>
      </c>
      <c r="L82" t="n">
        <v>1</v>
      </c>
      <c r="M82">
        <f>ABS(G82)/F82</f>
        <v/>
      </c>
      <c r="N82">
        <f>J82/H82</f>
        <v/>
      </c>
      <c r="O82">
        <f>F82/I82</f>
        <v/>
      </c>
      <c r="P82">
        <f>LN(H82)</f>
        <v/>
      </c>
    </row>
    <row r="83">
      <c r="A83" s="39" t="n"/>
      <c r="B83" s="39" t="n"/>
      <c r="C83" s="27" t="inlineStr">
        <is>
          <t>CMIG4</t>
        </is>
      </c>
      <c r="D83" t="n">
        <v>2019</v>
      </c>
      <c r="E83" t="n">
        <v>1</v>
      </c>
      <c r="F83" s="38">
        <f>2746249+12029782</f>
        <v/>
      </c>
      <c r="G83" s="38" t="n">
        <v>-1846573</v>
      </c>
      <c r="H83" s="38" t="n">
        <v>49927052</v>
      </c>
      <c r="I83" s="38" t="n">
        <v>15890865</v>
      </c>
      <c r="J83" s="38" t="n">
        <v>3128073</v>
      </c>
      <c r="K83" t="n">
        <v>1</v>
      </c>
      <c r="L83" t="n">
        <v>1</v>
      </c>
      <c r="M83">
        <f>ABS(G83)/F83</f>
        <v/>
      </c>
      <c r="N83">
        <f>J83/H83</f>
        <v/>
      </c>
      <c r="O83">
        <f>F83/I83</f>
        <v/>
      </c>
      <c r="P83">
        <f>LN(H83)</f>
        <v/>
      </c>
    </row>
    <row r="84">
      <c r="A84" s="39" t="n"/>
      <c r="B84" s="39" t="n"/>
      <c r="C84" s="39" t="n"/>
      <c r="D84" t="n">
        <v>2020</v>
      </c>
      <c r="E84" t="n">
        <v>1</v>
      </c>
      <c r="F84" s="38">
        <f>2059315+12961243</f>
        <v/>
      </c>
      <c r="G84" s="38" t="n">
        <v>-3350864</v>
      </c>
      <c r="H84" s="38" t="n">
        <v>54083080</v>
      </c>
      <c r="I84" s="38" t="n">
        <v>17477348</v>
      </c>
      <c r="J84" s="38" t="n">
        <v>2865121</v>
      </c>
      <c r="K84" t="n">
        <v>1</v>
      </c>
      <c r="L84" t="n">
        <v>1</v>
      </c>
      <c r="M84">
        <f>ABS(G84)/F84</f>
        <v/>
      </c>
      <c r="N84">
        <f>J84/H84</f>
        <v/>
      </c>
      <c r="O84">
        <f>F84/I84</f>
        <v/>
      </c>
      <c r="P84">
        <f>LN(H84)</f>
        <v/>
      </c>
    </row>
    <row r="85">
      <c r="A85" s="39" t="n"/>
      <c r="B85" s="39" t="n"/>
      <c r="C85" s="39" t="n"/>
      <c r="D85" t="n">
        <v>2021</v>
      </c>
      <c r="E85" t="n">
        <v>1</v>
      </c>
      <c r="F85" s="38">
        <f>1465133+9898830</f>
        <v/>
      </c>
      <c r="G85" s="38" t="n">
        <v>-3096299</v>
      </c>
      <c r="H85" s="38" t="n">
        <v>52045808</v>
      </c>
      <c r="I85" s="38" t="n">
        <v>19461765</v>
      </c>
      <c r="J85" s="38" t="n">
        <v>3752869</v>
      </c>
      <c r="K85" t="n">
        <v>1</v>
      </c>
      <c r="L85" t="n">
        <v>1</v>
      </c>
      <c r="M85">
        <f>ABS(G85)/F85</f>
        <v/>
      </c>
      <c r="N85">
        <f>J85/H85</f>
        <v/>
      </c>
      <c r="O85">
        <f>F85/I85</f>
        <v/>
      </c>
      <c r="P85">
        <f>LN(H85)</f>
        <v/>
      </c>
    </row>
    <row r="86">
      <c r="A86" s="39" t="n"/>
      <c r="B86" s="39" t="n"/>
      <c r="C86" s="39" t="n"/>
      <c r="D86" t="n">
        <v>2022</v>
      </c>
      <c r="E86" t="n">
        <v>1</v>
      </c>
      <c r="F86" s="38">
        <f>955497+9624001</f>
        <v/>
      </c>
      <c r="G86" s="38" t="n">
        <v>-3066415</v>
      </c>
      <c r="H86" s="38" t="n">
        <v>53670837</v>
      </c>
      <c r="I86" s="38" t="n">
        <v>21783266</v>
      </c>
      <c r="J86" s="38" t="n">
        <v>4094367</v>
      </c>
      <c r="K86" t="n">
        <v>1</v>
      </c>
      <c r="L86" t="n">
        <v>1</v>
      </c>
      <c r="M86">
        <f>ABS(G86)/F86</f>
        <v/>
      </c>
      <c r="N86">
        <f>J86/H86</f>
        <v/>
      </c>
      <c r="O86">
        <f>F86/I86</f>
        <v/>
      </c>
      <c r="P86">
        <f>LN(H86)</f>
        <v/>
      </c>
    </row>
    <row r="87">
      <c r="A87" s="39" t="n"/>
      <c r="B87" s="39" t="n"/>
      <c r="C87" s="41" t="n"/>
      <c r="D87" s="1" t="n">
        <v>2023</v>
      </c>
      <c r="E87" s="1" t="n">
        <v>1</v>
      </c>
      <c r="F87" s="42">
        <f>2629708+7201431</f>
        <v/>
      </c>
      <c r="G87" s="42" t="n">
        <v>-1651045</v>
      </c>
      <c r="H87" s="42" t="n">
        <v>55000080</v>
      </c>
      <c r="I87" s="42" t="n">
        <v>24655193</v>
      </c>
      <c r="J87" s="42" t="n">
        <v>5766835</v>
      </c>
      <c r="K87" t="n">
        <v>1</v>
      </c>
      <c r="L87" t="n">
        <v>1</v>
      </c>
      <c r="M87">
        <f>ABS(G87)/F87</f>
        <v/>
      </c>
      <c r="N87">
        <f>J87/H87</f>
        <v/>
      </c>
      <c r="O87">
        <f>F87/I87</f>
        <v/>
      </c>
      <c r="P87">
        <f>LN(H87)</f>
        <v/>
      </c>
    </row>
    <row r="88">
      <c r="A88" s="39" t="n"/>
      <c r="B88" s="39" t="n"/>
      <c r="C88" s="27" t="inlineStr">
        <is>
          <t>CPLE6</t>
        </is>
      </c>
      <c r="D88" t="n">
        <v>2019</v>
      </c>
      <c r="E88" t="n">
        <v>1</v>
      </c>
      <c r="F88" s="38">
        <f>1419822+10152271</f>
        <v/>
      </c>
      <c r="G88" s="38" t="n">
        <v>-1238727</v>
      </c>
      <c r="H88" s="38" t="n">
        <v>38312550</v>
      </c>
      <c r="I88" s="38" t="n">
        <v>17598212</v>
      </c>
      <c r="J88" s="38" t="n">
        <v>2062869</v>
      </c>
      <c r="K88" t="n">
        <v>1</v>
      </c>
      <c r="L88" t="n">
        <v>1</v>
      </c>
      <c r="M88">
        <f>ABS(G88)/F88</f>
        <v/>
      </c>
      <c r="N88">
        <f>J88/H88</f>
        <v/>
      </c>
      <c r="O88">
        <f>F88/I88</f>
        <v/>
      </c>
      <c r="P88">
        <f>LN(H88)</f>
        <v/>
      </c>
    </row>
    <row r="89">
      <c r="A89" s="39" t="n"/>
      <c r="B89" s="39" t="n"/>
      <c r="C89" s="39" t="n"/>
      <c r="D89" t="n">
        <v>2020</v>
      </c>
      <c r="E89" t="n">
        <v>1</v>
      </c>
      <c r="F89" s="38">
        <f>2599088+7346924</f>
        <v/>
      </c>
      <c r="G89" s="38" t="n">
        <v>-973397</v>
      </c>
      <c r="H89" s="38" t="n">
        <v>46784664</v>
      </c>
      <c r="I89" s="38" t="n">
        <v>20250518</v>
      </c>
      <c r="J89" s="38" t="n">
        <v>3909750</v>
      </c>
      <c r="K89" t="n">
        <v>1</v>
      </c>
      <c r="L89" t="n">
        <v>1</v>
      </c>
      <c r="M89">
        <f>ABS(G89)/F89</f>
        <v/>
      </c>
      <c r="N89">
        <f>J89/H89</f>
        <v/>
      </c>
      <c r="O89">
        <f>F89/I89</f>
        <v/>
      </c>
      <c r="P89">
        <f>LN(H89)</f>
        <v/>
      </c>
    </row>
    <row r="90">
      <c r="A90" s="39" t="n"/>
      <c r="B90" s="39" t="n"/>
      <c r="C90" s="39" t="n"/>
      <c r="D90" t="n">
        <v>2021</v>
      </c>
      <c r="E90" t="n">
        <v>1</v>
      </c>
      <c r="F90" s="38">
        <f>2724255+9101806</f>
        <v/>
      </c>
      <c r="G90" s="38" t="n">
        <v>-1259410</v>
      </c>
      <c r="H90" s="38" t="n">
        <v>49537535</v>
      </c>
      <c r="I90" s="38" t="n">
        <v>22175235</v>
      </c>
      <c r="J90" s="38" t="n">
        <v>5048602</v>
      </c>
      <c r="K90" t="n">
        <v>1</v>
      </c>
      <c r="L90" t="n">
        <v>1</v>
      </c>
      <c r="M90">
        <f>ABS(G90)/F90</f>
        <v/>
      </c>
      <c r="N90">
        <f>J90/H90</f>
        <v/>
      </c>
      <c r="O90">
        <f>F90/I90</f>
        <v/>
      </c>
      <c r="P90">
        <f>LN(H90)</f>
        <v/>
      </c>
    </row>
    <row r="91">
      <c r="A91" s="39" t="n"/>
      <c r="B91" s="39" t="n"/>
      <c r="C91" s="39" t="n"/>
      <c r="D91" t="n">
        <v>2022</v>
      </c>
      <c r="E91" t="n">
        <v>1</v>
      </c>
      <c r="F91" s="38">
        <f>1625185+10829033</f>
        <v/>
      </c>
      <c r="G91" s="38" t="n">
        <v>-2998874</v>
      </c>
      <c r="H91" s="38" t="n">
        <v>49703700</v>
      </c>
      <c r="I91" s="38" t="n">
        <v>21131225</v>
      </c>
      <c r="J91" s="38" t="n">
        <v>1149321</v>
      </c>
      <c r="K91" t="n">
        <v>1</v>
      </c>
      <c r="L91" t="n">
        <v>1</v>
      </c>
      <c r="M91">
        <f>ABS(G91)/F91</f>
        <v/>
      </c>
      <c r="N91">
        <f>J91/H91</f>
        <v/>
      </c>
      <c r="O91">
        <f>F91/I91</f>
        <v/>
      </c>
      <c r="P91">
        <f>LN(H91)</f>
        <v/>
      </c>
    </row>
    <row r="92">
      <c r="A92" s="39" t="n"/>
      <c r="B92" s="39" t="n"/>
      <c r="C92" s="41" t="n"/>
      <c r="D92" s="1" t="n">
        <v>2023</v>
      </c>
      <c r="E92" s="1" t="n">
        <v>1</v>
      </c>
      <c r="F92" s="42">
        <f>1901629+13060694</f>
        <v/>
      </c>
      <c r="G92" s="42" t="n">
        <v>-2274106</v>
      </c>
      <c r="H92" s="42" t="n">
        <v>55819074</v>
      </c>
      <c r="I92" s="42" t="n">
        <v>24191667</v>
      </c>
      <c r="J92" s="42" t="n">
        <v>2327168</v>
      </c>
      <c r="K92" t="n">
        <v>1</v>
      </c>
      <c r="L92" t="n">
        <v>1</v>
      </c>
      <c r="M92">
        <f>ABS(G92)/F92</f>
        <v/>
      </c>
      <c r="N92">
        <f>J92/H92</f>
        <v/>
      </c>
      <c r="O92">
        <f>F92/I92</f>
        <v/>
      </c>
      <c r="P92">
        <f>LN(H92)</f>
        <v/>
      </c>
    </row>
    <row r="93">
      <c r="A93" s="39" t="n"/>
      <c r="B93" s="39" t="n"/>
      <c r="C93" s="27" t="inlineStr">
        <is>
          <t>EGIE3</t>
        </is>
      </c>
      <c r="D93" t="n">
        <v>2019</v>
      </c>
      <c r="E93" t="n">
        <v>1</v>
      </c>
      <c r="F93" s="38">
        <f>2842160+11920898</f>
        <v/>
      </c>
      <c r="G93" s="38" t="n">
        <v>-1354112</v>
      </c>
      <c r="H93" s="38" t="n">
        <v>30135578</v>
      </c>
      <c r="I93" s="38" t="n">
        <v>6998820</v>
      </c>
      <c r="J93" s="38" t="n">
        <v>2311099</v>
      </c>
      <c r="K93" t="n">
        <v>1</v>
      </c>
      <c r="L93" t="n">
        <v>1</v>
      </c>
      <c r="M93">
        <f>ABS(G93)/F93</f>
        <v/>
      </c>
      <c r="N93">
        <f>J93/H93</f>
        <v/>
      </c>
      <c r="O93">
        <f>F93/I93</f>
        <v/>
      </c>
      <c r="P93">
        <f>LN(H93)</f>
        <v/>
      </c>
    </row>
    <row r="94">
      <c r="A94" s="39" t="n"/>
      <c r="B94" s="39" t="n"/>
      <c r="C94" s="39" t="n"/>
      <c r="D94" t="n">
        <v>2020</v>
      </c>
      <c r="E94" t="n">
        <v>1</v>
      </c>
      <c r="F94" s="38">
        <f>1825003+14939052</f>
        <v/>
      </c>
      <c r="G94" s="38" t="n">
        <v>-2137239</v>
      </c>
      <c r="H94" s="38" t="n">
        <v>35186248</v>
      </c>
      <c r="I94" s="38" t="n">
        <v>7741998</v>
      </c>
      <c r="J94" s="38" t="n">
        <v>2797268</v>
      </c>
      <c r="K94" t="n">
        <v>1</v>
      </c>
      <c r="L94" t="n">
        <v>1</v>
      </c>
      <c r="M94">
        <f>ABS(G94)/F94</f>
        <v/>
      </c>
      <c r="N94">
        <f>J94/H94</f>
        <v/>
      </c>
      <c r="O94">
        <f>F94/I94</f>
        <v/>
      </c>
      <c r="P94">
        <f>LN(H94)</f>
        <v/>
      </c>
    </row>
    <row r="95">
      <c r="A95" s="39" t="n"/>
      <c r="B95" s="39" t="n"/>
      <c r="C95" s="39" t="n"/>
      <c r="D95" t="n">
        <v>2021</v>
      </c>
      <c r="E95" t="n">
        <v>1</v>
      </c>
      <c r="F95" s="38">
        <f>3390934+16743783</f>
        <v/>
      </c>
      <c r="G95" s="38" t="n">
        <v>-3359539</v>
      </c>
      <c r="H95" s="38" t="n">
        <v>38115725</v>
      </c>
      <c r="I95" s="38" t="n">
        <v>7932597</v>
      </c>
      <c r="J95" s="38" t="n">
        <v>1564970</v>
      </c>
      <c r="K95" t="n">
        <v>1</v>
      </c>
      <c r="L95" t="n">
        <v>1</v>
      </c>
      <c r="M95">
        <f>ABS(G95)/F95</f>
        <v/>
      </c>
      <c r="N95">
        <f>J95/H95</f>
        <v/>
      </c>
      <c r="O95">
        <f>F95/I95</f>
        <v/>
      </c>
      <c r="P95">
        <f>LN(H95)</f>
        <v/>
      </c>
    </row>
    <row r="96">
      <c r="A96" s="39" t="n"/>
      <c r="B96" s="39" t="n"/>
      <c r="C96" s="39" t="n"/>
      <c r="D96" t="n">
        <v>2022</v>
      </c>
      <c r="E96" t="n">
        <v>1</v>
      </c>
      <c r="F96" s="38">
        <f>1545820+15811239</f>
        <v/>
      </c>
      <c r="G96" s="38" t="n">
        <v>-3100481</v>
      </c>
      <c r="H96" s="38" t="n">
        <v>38186752</v>
      </c>
      <c r="I96" s="38" t="n">
        <v>8440172</v>
      </c>
      <c r="J96" s="38" t="n">
        <v>2664568</v>
      </c>
      <c r="K96" t="n">
        <v>1</v>
      </c>
      <c r="L96" t="n">
        <v>1</v>
      </c>
      <c r="M96">
        <f>ABS(G96)/F96</f>
        <v/>
      </c>
      <c r="N96">
        <f>J96/H96</f>
        <v/>
      </c>
      <c r="O96">
        <f>F96/I96</f>
        <v/>
      </c>
      <c r="P96">
        <f>LN(H96)</f>
        <v/>
      </c>
    </row>
    <row r="97">
      <c r="A97" s="39" t="n"/>
      <c r="B97" s="39" t="n"/>
      <c r="C97" s="41" t="n"/>
      <c r="D97" s="1" t="n">
        <v>2023</v>
      </c>
      <c r="E97" s="1" t="n">
        <v>1</v>
      </c>
      <c r="F97" s="42">
        <f>2455032+17651224</f>
        <v/>
      </c>
      <c r="G97" s="42" t="n">
        <v>-2411978</v>
      </c>
      <c r="H97" s="42" t="n">
        <v>42224473</v>
      </c>
      <c r="I97" s="42" t="n">
        <v>9816210</v>
      </c>
      <c r="J97" s="42" t="n">
        <v>3429060</v>
      </c>
      <c r="K97" t="n">
        <v>1</v>
      </c>
      <c r="L97" t="n">
        <v>1</v>
      </c>
      <c r="M97">
        <f>ABS(G97)/F97</f>
        <v/>
      </c>
      <c r="N97">
        <f>J97/H97</f>
        <v/>
      </c>
      <c r="O97">
        <f>F97/I97</f>
        <v/>
      </c>
      <c r="P97">
        <f>LN(H97)</f>
        <v/>
      </c>
    </row>
    <row r="98">
      <c r="A98" s="39" t="n"/>
      <c r="B98" s="39" t="n"/>
      <c r="C98" s="27" t="inlineStr">
        <is>
          <t>TRPL4</t>
        </is>
      </c>
      <c r="D98" t="n">
        <v>2019</v>
      </c>
      <c r="E98" t="n">
        <v>1</v>
      </c>
      <c r="F98" s="38">
        <f>1087384+2206367</f>
        <v/>
      </c>
      <c r="G98" s="38" t="n">
        <v>-624300</v>
      </c>
      <c r="H98" s="38" t="n">
        <v>21599094</v>
      </c>
      <c r="I98" s="38" t="n">
        <v>13761607</v>
      </c>
      <c r="J98" s="38" t="n">
        <v>1779451</v>
      </c>
      <c r="K98" t="n">
        <v>0</v>
      </c>
      <c r="L98" t="n">
        <v>1</v>
      </c>
      <c r="M98">
        <f>ABS(G98)/F98</f>
        <v/>
      </c>
      <c r="N98">
        <f>J98/H98</f>
        <v/>
      </c>
      <c r="O98">
        <f>F98/I98</f>
        <v/>
      </c>
      <c r="P98">
        <f>LN(H98)</f>
        <v/>
      </c>
    </row>
    <row r="99">
      <c r="A99" s="39" t="n"/>
      <c r="B99" s="39" t="n"/>
      <c r="C99" s="39" t="n"/>
      <c r="D99" t="n">
        <v>2020</v>
      </c>
      <c r="E99" t="n">
        <v>1</v>
      </c>
      <c r="F99" s="38">
        <f>321371+4214361</f>
        <v/>
      </c>
      <c r="G99" s="38" t="n">
        <v>-580524</v>
      </c>
      <c r="H99" s="38" t="n">
        <v>24592358</v>
      </c>
      <c r="I99" s="38" t="n">
        <v>14125442</v>
      </c>
      <c r="J99" s="38" t="n">
        <v>3382650</v>
      </c>
      <c r="K99" t="n">
        <v>0</v>
      </c>
      <c r="L99" t="n">
        <v>1</v>
      </c>
      <c r="M99">
        <f>ABS(G99)/F99</f>
        <v/>
      </c>
      <c r="N99">
        <f>J99/H99</f>
        <v/>
      </c>
      <c r="O99">
        <f>F99/I99</f>
        <v/>
      </c>
      <c r="P99">
        <f>LN(H99)</f>
        <v/>
      </c>
    </row>
    <row r="100">
      <c r="A100" s="39" t="n"/>
      <c r="B100" s="39" t="n"/>
      <c r="C100" s="39" t="n"/>
      <c r="D100" t="n">
        <v>2021</v>
      </c>
      <c r="E100" t="n">
        <v>1</v>
      </c>
      <c r="F100" s="38">
        <f>813100+6603447</f>
        <v/>
      </c>
      <c r="G100" s="38" t="n">
        <v>-718523</v>
      </c>
      <c r="H100" s="38" t="n">
        <v>28976739</v>
      </c>
      <c r="I100" s="38" t="n">
        <v>14792735</v>
      </c>
      <c r="J100" s="38" t="n">
        <v>3037808</v>
      </c>
      <c r="K100" t="n">
        <v>0</v>
      </c>
      <c r="L100" t="n">
        <v>1</v>
      </c>
      <c r="M100">
        <f>ABS(G100)/F100</f>
        <v/>
      </c>
      <c r="N100">
        <f>J100/H100</f>
        <v/>
      </c>
      <c r="O100">
        <f>F100/I100</f>
        <v/>
      </c>
      <c r="P100">
        <f>LN(H100)</f>
        <v/>
      </c>
    </row>
    <row r="101">
      <c r="A101" s="39" t="n"/>
      <c r="B101" s="39" t="n"/>
      <c r="C101" s="39" t="n"/>
      <c r="D101" t="n">
        <v>2022</v>
      </c>
      <c r="E101" t="n">
        <v>1</v>
      </c>
      <c r="F101" s="38">
        <f>181017+7860680</f>
        <v/>
      </c>
      <c r="G101" s="38" t="n">
        <v>-981399</v>
      </c>
      <c r="H101" s="38" t="n">
        <v>32243550</v>
      </c>
      <c r="I101" s="38" t="n">
        <v>16536481</v>
      </c>
      <c r="J101" s="38" t="n">
        <v>2319791</v>
      </c>
      <c r="K101" t="n">
        <v>1</v>
      </c>
      <c r="L101" t="n">
        <v>1</v>
      </c>
      <c r="M101">
        <f>ABS(G101)/F101</f>
        <v/>
      </c>
      <c r="N101">
        <f>J101/H101</f>
        <v/>
      </c>
      <c r="O101">
        <f>F101/I101</f>
        <v/>
      </c>
      <c r="P101">
        <f>LN(H101)</f>
        <v/>
      </c>
    </row>
    <row r="102">
      <c r="A102" s="41" t="n"/>
      <c r="B102" s="41" t="n"/>
      <c r="C102" s="41" t="n"/>
      <c r="D102" s="1" t="n">
        <v>2023</v>
      </c>
      <c r="E102" s="1" t="n">
        <v>1</v>
      </c>
      <c r="F102" s="42">
        <f>652894+8615771</f>
        <v/>
      </c>
      <c r="G102" s="42" t="n">
        <v>-1043648</v>
      </c>
      <c r="H102" s="42" t="n">
        <v>35911156</v>
      </c>
      <c r="I102" s="42" t="n">
        <v>17791712</v>
      </c>
      <c r="J102" s="42" t="n">
        <v>2892362</v>
      </c>
      <c r="K102" t="n">
        <v>1</v>
      </c>
      <c r="L102" t="n">
        <v>1</v>
      </c>
      <c r="M102">
        <f>ABS(G102)/F102</f>
        <v/>
      </c>
      <c r="N102">
        <f>J102/H102</f>
        <v/>
      </c>
      <c r="O102">
        <f>F102/I102</f>
        <v/>
      </c>
      <c r="P102">
        <f>LN(H102)</f>
        <v/>
      </c>
    </row>
    <row r="103" ht="15" customHeight="1" s="30">
      <c r="A103" s="45" t="inlineStr">
        <is>
          <t>GRUPO_2: CONTROLE-MENOS POLUENTES</t>
        </is>
      </c>
      <c r="B103" s="16" t="inlineStr">
        <is>
          <t>Varejo e Outros</t>
        </is>
      </c>
      <c r="C103" s="27" t="inlineStr">
        <is>
          <t>WEGE3</t>
        </is>
      </c>
      <c r="D103" s="2" t="n">
        <v>2019</v>
      </c>
      <c r="E103" s="2" t="n">
        <v>0</v>
      </c>
      <c r="F103" s="44">
        <f>936370+1348599</f>
        <v/>
      </c>
      <c r="G103" s="44" t="n">
        <v>-960665</v>
      </c>
      <c r="H103" s="44" t="n">
        <v>15687641</v>
      </c>
      <c r="I103" s="44" t="n">
        <v>8929990</v>
      </c>
      <c r="J103" s="44" t="n">
        <v>1632455</v>
      </c>
      <c r="K103" t="n">
        <v>1</v>
      </c>
      <c r="L103" t="n">
        <v>1</v>
      </c>
      <c r="M103">
        <f>ABS(G103)/F103</f>
        <v/>
      </c>
      <c r="N103">
        <f>J103/H103</f>
        <v/>
      </c>
      <c r="O103">
        <f>F103/I103</f>
        <v/>
      </c>
      <c r="P103">
        <f>LN(H103)</f>
        <v/>
      </c>
    </row>
    <row r="104">
      <c r="B104" s="39" t="n"/>
      <c r="C104" s="39" t="n"/>
      <c r="D104" t="n">
        <v>2020</v>
      </c>
      <c r="E104" t="n">
        <v>0</v>
      </c>
      <c r="F104" s="38">
        <f>642284+1044296</f>
        <v/>
      </c>
      <c r="G104" s="38" t="n">
        <v>-1090101</v>
      </c>
      <c r="H104" s="38" t="n">
        <v>19927896</v>
      </c>
      <c r="I104" s="38" t="n">
        <v>11930298</v>
      </c>
      <c r="J104" s="38" t="n">
        <v>2395957</v>
      </c>
      <c r="K104" t="n">
        <v>1</v>
      </c>
      <c r="L104" t="n">
        <v>1</v>
      </c>
      <c r="M104">
        <f>ABS(G104)/F104</f>
        <v/>
      </c>
      <c r="N104">
        <f>J104/H104</f>
        <v/>
      </c>
      <c r="O104">
        <f>F104/I104</f>
        <v/>
      </c>
      <c r="P104">
        <f>LN(H104)</f>
        <v/>
      </c>
    </row>
    <row r="105">
      <c r="B105" s="39" t="n"/>
      <c r="C105" s="39" t="n"/>
      <c r="D105" t="n">
        <v>2021</v>
      </c>
      <c r="E105" t="n">
        <v>0</v>
      </c>
      <c r="F105" s="38">
        <f>1052044+737071</f>
        <v/>
      </c>
      <c r="G105" s="38" t="n">
        <v>-821046</v>
      </c>
      <c r="H105" s="38" t="n">
        <v>23932787</v>
      </c>
      <c r="I105" s="38" t="n">
        <v>14010672</v>
      </c>
      <c r="J105" s="38" t="n">
        <v>3657480</v>
      </c>
      <c r="K105" t="n">
        <v>1</v>
      </c>
      <c r="L105" t="n">
        <v>1</v>
      </c>
      <c r="M105">
        <f>ABS(G105)/F105</f>
        <v/>
      </c>
      <c r="N105">
        <f>J105/H105</f>
        <v/>
      </c>
      <c r="O105">
        <f>F105/I105</f>
        <v/>
      </c>
      <c r="P105">
        <f>LN(H105)</f>
        <v/>
      </c>
    </row>
    <row r="106">
      <c r="B106" s="39" t="n"/>
      <c r="C106" s="39" t="n"/>
      <c r="D106" t="n">
        <v>2022</v>
      </c>
      <c r="E106" t="n">
        <v>0</v>
      </c>
      <c r="F106" s="38">
        <f>2307817+1151875</f>
        <v/>
      </c>
      <c r="G106" s="38" t="n">
        <v>-1041939</v>
      </c>
      <c r="H106" s="38" t="n">
        <v>28134660</v>
      </c>
      <c r="I106" s="38" t="n">
        <v>15248355</v>
      </c>
      <c r="J106" s="38" t="n">
        <v>4272872</v>
      </c>
      <c r="K106" t="n">
        <v>1</v>
      </c>
      <c r="L106" t="n">
        <v>1</v>
      </c>
      <c r="M106">
        <f>ABS(G106)/F106</f>
        <v/>
      </c>
      <c r="N106">
        <f>J106/H106</f>
        <v/>
      </c>
      <c r="O106">
        <f>F106/I106</f>
        <v/>
      </c>
      <c r="P106">
        <f>LN(H106)</f>
        <v/>
      </c>
    </row>
    <row r="107">
      <c r="B107" s="39" t="n"/>
      <c r="C107" s="41" t="n"/>
      <c r="D107" s="1" t="n">
        <v>2023</v>
      </c>
      <c r="E107" s="1" t="n">
        <v>0</v>
      </c>
      <c r="F107" s="42">
        <f>2170324+664737</f>
        <v/>
      </c>
      <c r="G107" s="42" t="n">
        <v>-1424977</v>
      </c>
      <c r="H107" s="42" t="n">
        <v>31496270</v>
      </c>
      <c r="I107" s="42" t="n">
        <v>17854776</v>
      </c>
      <c r="J107" s="42" t="n">
        <v>5867615</v>
      </c>
      <c r="K107" t="n">
        <v>1</v>
      </c>
      <c r="L107" t="n">
        <v>1</v>
      </c>
      <c r="M107">
        <f>ABS(G107)/F107</f>
        <v/>
      </c>
      <c r="N107">
        <f>J107/H107</f>
        <v/>
      </c>
      <c r="O107">
        <f>F107/I107</f>
        <v/>
      </c>
      <c r="P107">
        <f>LN(H107)</f>
        <v/>
      </c>
    </row>
    <row r="108">
      <c r="B108" s="39" t="n"/>
      <c r="C108" s="27" t="inlineStr">
        <is>
          <t>RADL3</t>
        </is>
      </c>
      <c r="D108" t="n">
        <v>2019</v>
      </c>
      <c r="E108" t="n">
        <v>0</v>
      </c>
      <c r="F108" s="38">
        <f>228661+897815</f>
        <v/>
      </c>
      <c r="G108" s="38" t="n">
        <v>-411246</v>
      </c>
      <c r="H108" s="38" t="n">
        <v>12248255</v>
      </c>
      <c r="I108" s="38" t="n">
        <v>4076419</v>
      </c>
      <c r="J108" s="38" t="n">
        <v>788735</v>
      </c>
      <c r="K108" t="n">
        <v>0</v>
      </c>
      <c r="L108" t="n">
        <v>0</v>
      </c>
      <c r="M108">
        <f>ABS(G108)/F108</f>
        <v/>
      </c>
      <c r="N108">
        <f>J108/H108</f>
        <v/>
      </c>
      <c r="O108">
        <f>F108/I108</f>
        <v/>
      </c>
      <c r="P108">
        <f>LN(H108)</f>
        <v/>
      </c>
    </row>
    <row r="109">
      <c r="B109" s="39" t="n"/>
      <c r="C109" s="39" t="n"/>
      <c r="D109" t="n">
        <v>2020</v>
      </c>
      <c r="E109" t="n">
        <v>0</v>
      </c>
      <c r="F109" s="38">
        <f>531204+1122250</f>
        <v/>
      </c>
      <c r="G109" s="38" t="n">
        <v>-353798</v>
      </c>
      <c r="H109" s="38" t="n">
        <v>13828088</v>
      </c>
      <c r="I109" s="38" t="n">
        <v>4425621</v>
      </c>
      <c r="J109" s="38" t="n">
        <v>495533</v>
      </c>
      <c r="K109" t="n">
        <v>0</v>
      </c>
      <c r="L109" t="n">
        <v>0</v>
      </c>
      <c r="M109">
        <f>ABS(G109)/F109</f>
        <v/>
      </c>
      <c r="N109">
        <f>J109/H109</f>
        <v/>
      </c>
      <c r="O109">
        <f>F109/I109</f>
        <v/>
      </c>
      <c r="P109">
        <f>LN(H109)</f>
        <v/>
      </c>
    </row>
    <row r="110">
      <c r="B110" s="39" t="n"/>
      <c r="C110" s="39" t="n"/>
      <c r="D110" t="n">
        <v>2021</v>
      </c>
      <c r="E110" t="n">
        <v>0</v>
      </c>
      <c r="F110" s="38">
        <f>613831+891391</f>
        <v/>
      </c>
      <c r="G110" s="38" t="n">
        <v>-459226</v>
      </c>
      <c r="H110" s="38" t="n">
        <v>14775506</v>
      </c>
      <c r="I110" s="38" t="n">
        <v>4718802</v>
      </c>
      <c r="J110" s="38" t="n">
        <v>764133</v>
      </c>
      <c r="K110" t="n">
        <v>0</v>
      </c>
      <c r="L110" t="n">
        <v>1</v>
      </c>
      <c r="M110">
        <f>ABS(G110)/F110</f>
        <v/>
      </c>
      <c r="N110">
        <f>J110/H110</f>
        <v/>
      </c>
      <c r="O110">
        <f>F110/I110</f>
        <v/>
      </c>
      <c r="P110">
        <f>LN(H110)</f>
        <v/>
      </c>
    </row>
    <row r="111">
      <c r="B111" s="39" t="n"/>
      <c r="C111" s="39" t="n"/>
      <c r="D111" t="n">
        <v>2022</v>
      </c>
      <c r="E111" t="n">
        <v>0</v>
      </c>
      <c r="F111" s="38">
        <f>186356+2131548</f>
        <v/>
      </c>
      <c r="G111" s="38" t="n">
        <v>-939701</v>
      </c>
      <c r="H111" s="38" t="n">
        <v>17185306</v>
      </c>
      <c r="I111" s="38" t="n">
        <v>5402941</v>
      </c>
      <c r="J111" s="38" t="n">
        <v>1014968</v>
      </c>
      <c r="K111" t="n">
        <v>1</v>
      </c>
      <c r="L111" t="n">
        <v>1</v>
      </c>
      <c r="M111">
        <f>ABS(G111)/F111</f>
        <v/>
      </c>
      <c r="N111">
        <f>J111/H111</f>
        <v/>
      </c>
      <c r="O111">
        <f>F111/I111</f>
        <v/>
      </c>
      <c r="P111">
        <f>LN(H111)</f>
        <v/>
      </c>
    </row>
    <row r="112">
      <c r="B112" s="39" t="n"/>
      <c r="C112" s="41" t="n"/>
      <c r="D112" s="1" t="n">
        <v>2023</v>
      </c>
      <c r="E112" s="1" t="n">
        <v>0</v>
      </c>
      <c r="F112" s="42">
        <f>604601+2526102</f>
        <v/>
      </c>
      <c r="G112" s="42" t="n">
        <v>-1292531</v>
      </c>
      <c r="H112" s="42" t="n">
        <v>20094412</v>
      </c>
      <c r="I112" s="42" t="n">
        <v>6028301</v>
      </c>
      <c r="J112" s="42" t="n">
        <v>1087143</v>
      </c>
      <c r="K112" t="n">
        <v>1</v>
      </c>
      <c r="L112" t="n">
        <v>1</v>
      </c>
      <c r="M112">
        <f>ABS(G112)/F112</f>
        <v/>
      </c>
      <c r="N112">
        <f>J112/H112</f>
        <v/>
      </c>
      <c r="O112">
        <f>F112/I112</f>
        <v/>
      </c>
      <c r="P112">
        <f>LN(H112)</f>
        <v/>
      </c>
    </row>
    <row r="113">
      <c r="B113" s="39" t="n"/>
      <c r="C113" s="27" t="inlineStr">
        <is>
          <t>LREN3</t>
        </is>
      </c>
      <c r="D113" t="n">
        <v>2019</v>
      </c>
      <c r="E113" t="n">
        <v>0</v>
      </c>
      <c r="F113" s="38">
        <f>894018+751011</f>
        <v/>
      </c>
      <c r="G113" s="38" t="n">
        <v>-206222</v>
      </c>
      <c r="H113" s="38" t="n">
        <v>11791735</v>
      </c>
      <c r="I113" s="38" t="n">
        <v>4704614</v>
      </c>
      <c r="J113" s="38" t="n">
        <v>1099093</v>
      </c>
      <c r="K113" t="n">
        <v>1</v>
      </c>
      <c r="L113" t="n">
        <v>1</v>
      </c>
      <c r="M113">
        <f>ABS(G113)/F113</f>
        <v/>
      </c>
      <c r="N113">
        <f>J113/H113</f>
        <v/>
      </c>
      <c r="O113">
        <f>F113/I113</f>
        <v/>
      </c>
      <c r="P113">
        <f>LN(H113)</f>
        <v/>
      </c>
    </row>
    <row r="114">
      <c r="B114" s="39" t="n"/>
      <c r="C114" s="39" t="n"/>
      <c r="D114" t="n">
        <v>2020</v>
      </c>
      <c r="E114" t="n">
        <v>0</v>
      </c>
      <c r="F114" s="38">
        <f>1418471+1966508</f>
        <v/>
      </c>
      <c r="G114" s="38" t="n">
        <v>-369043</v>
      </c>
      <c r="H114" s="38" t="n">
        <v>14642583</v>
      </c>
      <c r="I114" s="38" t="n">
        <v>5501316</v>
      </c>
      <c r="J114" s="38" t="n">
        <v>1096269</v>
      </c>
      <c r="K114" t="n">
        <v>1</v>
      </c>
      <c r="L114" t="n">
        <v>1</v>
      </c>
      <c r="M114">
        <f>ABS(G114)/F114</f>
        <v/>
      </c>
      <c r="N114">
        <f>J114/H114</f>
        <v/>
      </c>
      <c r="O114">
        <f>F114/I114</f>
        <v/>
      </c>
      <c r="P114">
        <f>LN(H114)</f>
        <v/>
      </c>
    </row>
    <row r="115">
      <c r="B115" s="39" t="n"/>
      <c r="C115" s="39" t="n"/>
      <c r="D115" t="n">
        <v>2021</v>
      </c>
      <c r="E115" t="n">
        <v>0</v>
      </c>
      <c r="F115" s="38">
        <f>2085974+1381128</f>
        <v/>
      </c>
      <c r="G115" s="38" t="n">
        <v>-557395</v>
      </c>
      <c r="H115" s="38" t="n">
        <v>21411985</v>
      </c>
      <c r="I115" s="38" t="n">
        <v>9806621</v>
      </c>
      <c r="J115" s="38" t="n">
        <v>633112</v>
      </c>
      <c r="K115" t="n">
        <v>1</v>
      </c>
      <c r="L115" t="n">
        <v>1</v>
      </c>
      <c r="M115">
        <f>ABS(G115)/F115</f>
        <v/>
      </c>
      <c r="N115">
        <f>J115/H115</f>
        <v/>
      </c>
      <c r="O115">
        <f>F115/I115</f>
        <v/>
      </c>
      <c r="P115">
        <f>LN(H115)</f>
        <v/>
      </c>
    </row>
    <row r="116">
      <c r="B116" s="39" t="n"/>
      <c r="C116" s="39" t="n"/>
      <c r="D116" t="n">
        <v>2022</v>
      </c>
      <c r="E116" t="n">
        <v>0</v>
      </c>
      <c r="F116" s="38">
        <f>704175+1701200</f>
        <v/>
      </c>
      <c r="G116" s="38" t="n">
        <v>-727055</v>
      </c>
      <c r="H116" s="38" t="n">
        <v>21148892</v>
      </c>
      <c r="I116" s="38" t="n">
        <v>10087515</v>
      </c>
      <c r="J116" s="38" t="n">
        <v>1291704</v>
      </c>
      <c r="K116" t="n">
        <v>1</v>
      </c>
      <c r="L116" t="n">
        <v>1</v>
      </c>
      <c r="M116">
        <f>ABS(G116)/F116</f>
        <v/>
      </c>
      <c r="N116">
        <f>J116/H116</f>
        <v/>
      </c>
      <c r="O116">
        <f>F116/I116</f>
        <v/>
      </c>
      <c r="P116">
        <f>LN(H116)</f>
        <v/>
      </c>
    </row>
    <row r="117">
      <c r="B117" s="39" t="n"/>
      <c r="C117" s="41" t="n"/>
      <c r="D117" s="1" t="n">
        <v>2023</v>
      </c>
      <c r="E117" s="1" t="n">
        <v>0</v>
      </c>
      <c r="F117" s="42">
        <f>1090731+836169</f>
        <v/>
      </c>
      <c r="G117" s="42" t="n">
        <v>-659025</v>
      </c>
      <c r="H117" s="42" t="n">
        <v>20490638</v>
      </c>
      <c r="I117" s="42" t="n">
        <v>10047221</v>
      </c>
      <c r="J117" s="42" t="n">
        <v>976259</v>
      </c>
      <c r="K117" t="n">
        <v>1</v>
      </c>
      <c r="L117" t="n">
        <v>1</v>
      </c>
      <c r="M117">
        <f>ABS(G117)/F117</f>
        <v/>
      </c>
      <c r="N117">
        <f>J117/H117</f>
        <v/>
      </c>
      <c r="O117">
        <f>F117/I117</f>
        <v/>
      </c>
      <c r="P117">
        <f>LN(H117)</f>
        <v/>
      </c>
    </row>
    <row r="118">
      <c r="B118" s="39" t="n"/>
      <c r="C118" s="27" t="inlineStr">
        <is>
          <t>MGLU3</t>
        </is>
      </c>
      <c r="D118" t="n">
        <v>2019</v>
      </c>
      <c r="E118" t="n">
        <v>0</v>
      </c>
      <c r="F118" s="38">
        <f>9967+838862</f>
        <v/>
      </c>
      <c r="G118" s="38" t="n">
        <v>-711330</v>
      </c>
      <c r="H118" s="38" t="n">
        <v>19791073</v>
      </c>
      <c r="I118" s="38" t="n">
        <v>7564937</v>
      </c>
      <c r="J118" s="38" t="n">
        <v>921828</v>
      </c>
      <c r="K118" t="n">
        <v>1</v>
      </c>
      <c r="L118" t="n">
        <v>1</v>
      </c>
      <c r="M118">
        <f>ABS(G118)/F118</f>
        <v/>
      </c>
      <c r="N118">
        <f>J118/H118</f>
        <v/>
      </c>
      <c r="O118">
        <f>F118/I118</f>
        <v/>
      </c>
      <c r="P118">
        <f>LN(H118)</f>
        <v/>
      </c>
    </row>
    <row r="119">
      <c r="B119" s="39" t="n"/>
      <c r="C119" s="39" t="n"/>
      <c r="D119" t="n">
        <v>2020</v>
      </c>
      <c r="E119" t="n">
        <v>0</v>
      </c>
      <c r="F119" s="38">
        <f>1667181+19581</f>
        <v/>
      </c>
      <c r="G119" s="38" t="n">
        <v>-593863</v>
      </c>
      <c r="H119" s="38" t="n">
        <v>24647203</v>
      </c>
      <c r="I119" s="38" t="n">
        <v>7325287</v>
      </c>
      <c r="J119" s="38" t="n">
        <v>391709</v>
      </c>
      <c r="K119" t="n">
        <v>1</v>
      </c>
      <c r="L119" t="n">
        <v>1</v>
      </c>
      <c r="M119">
        <f>ABS(G119)/F119</f>
        <v/>
      </c>
      <c r="N119">
        <f>J119/H119</f>
        <v/>
      </c>
      <c r="O119">
        <f>F119/I119</f>
        <v/>
      </c>
      <c r="P119">
        <f>LN(H119)</f>
        <v/>
      </c>
    </row>
    <row r="120">
      <c r="B120" s="39" t="n"/>
      <c r="C120" s="39" t="n"/>
      <c r="D120" t="n">
        <v>2021</v>
      </c>
      <c r="E120" t="n">
        <v>0</v>
      </c>
      <c r="F120" s="38">
        <f>407968+6384904</f>
        <v/>
      </c>
      <c r="G120" s="38" t="n">
        <v>-1180588</v>
      </c>
      <c r="H120" s="38" t="n">
        <v>38384616</v>
      </c>
      <c r="I120" s="38" t="n">
        <v>11261231</v>
      </c>
      <c r="J120" s="38" t="n">
        <v>590661</v>
      </c>
      <c r="K120" t="n">
        <v>1</v>
      </c>
      <c r="L120" t="n">
        <v>1</v>
      </c>
      <c r="M120">
        <f>ABS(G120)/F120</f>
        <v/>
      </c>
      <c r="N120">
        <f>J120/H120</f>
        <v/>
      </c>
      <c r="O120">
        <f>F120/I120</f>
        <v/>
      </c>
      <c r="P120">
        <f>LN(H120)</f>
        <v/>
      </c>
    </row>
    <row r="121">
      <c r="B121" s="39" t="n"/>
      <c r="C121" s="39" t="n"/>
      <c r="D121" t="n">
        <v>2022</v>
      </c>
      <c r="E121" t="n">
        <v>0</v>
      </c>
      <c r="F121" s="38">
        <f>124297+6984460</f>
        <v/>
      </c>
      <c r="G121" s="38" t="n">
        <v>-2736458</v>
      </c>
      <c r="H121" s="38" t="n">
        <v>37765845</v>
      </c>
      <c r="I121" s="38" t="n">
        <v>10648701</v>
      </c>
      <c r="J121" s="38" t="n">
        <v>-498975</v>
      </c>
      <c r="K121" t="n">
        <v>1</v>
      </c>
      <c r="L121" t="n">
        <v>1</v>
      </c>
      <c r="M121">
        <f>ABS(G121)/F121</f>
        <v/>
      </c>
      <c r="N121">
        <f>J121/H121</f>
        <v/>
      </c>
      <c r="O121">
        <f>F121/I121</f>
        <v/>
      </c>
      <c r="P121">
        <f>LN(H121)</f>
        <v/>
      </c>
    </row>
    <row r="122">
      <c r="B122" s="39" t="n"/>
      <c r="C122" s="41" t="n"/>
      <c r="D122" s="1" t="n">
        <v>2023</v>
      </c>
      <c r="E122" s="1" t="n">
        <v>0</v>
      </c>
      <c r="F122" s="42">
        <f>2954347+4400508</f>
        <v/>
      </c>
      <c r="G122" s="42" t="n">
        <v>-2798320</v>
      </c>
      <c r="H122" s="42" t="n">
        <v>37455067</v>
      </c>
      <c r="I122" s="42" t="n">
        <v>9610534</v>
      </c>
      <c r="J122" s="42" t="n">
        <v>-979104</v>
      </c>
      <c r="K122" t="n">
        <v>1</v>
      </c>
      <c r="L122" t="n">
        <v>1</v>
      </c>
      <c r="M122">
        <f>ABS(G122)/F122</f>
        <v/>
      </c>
      <c r="N122">
        <f>J122/H122</f>
        <v/>
      </c>
      <c r="O122">
        <f>F122/I122</f>
        <v/>
      </c>
      <c r="P122">
        <f>LN(H122)</f>
        <v/>
      </c>
    </row>
    <row r="123">
      <c r="B123" s="39" t="n"/>
      <c r="C123" s="27" t="inlineStr">
        <is>
          <t>NTCO3</t>
        </is>
      </c>
      <c r="D123" t="n">
        <v>2019</v>
      </c>
      <c r="E123" t="n">
        <v>0</v>
      </c>
      <c r="F123" s="38">
        <f>3354355+7432019</f>
        <v/>
      </c>
      <c r="G123" s="38" t="n">
        <v>-3002466</v>
      </c>
      <c r="H123" s="38" t="n">
        <v>21184512</v>
      </c>
      <c r="I123" s="38" t="n">
        <v>3362345</v>
      </c>
      <c r="J123" s="38" t="n">
        <v>155467</v>
      </c>
      <c r="K123" t="n">
        <v>1</v>
      </c>
      <c r="L123" t="n">
        <v>1</v>
      </c>
      <c r="M123">
        <f>ABS(G123)/F123</f>
        <v/>
      </c>
      <c r="N123">
        <f>J123/H123</f>
        <v/>
      </c>
      <c r="O123">
        <f>F123/I123</f>
        <v/>
      </c>
      <c r="P123">
        <f>LN(H123)</f>
        <v/>
      </c>
    </row>
    <row r="124">
      <c r="B124" s="39" t="n"/>
      <c r="C124" s="39" t="n"/>
      <c r="D124" t="n">
        <v>2020</v>
      </c>
      <c r="E124" t="n">
        <v>0</v>
      </c>
      <c r="F124" s="38">
        <f>3805649+10017264</f>
        <v/>
      </c>
      <c r="G124" s="38" t="n">
        <v>-5773810</v>
      </c>
      <c r="H124" s="38" t="n">
        <v>60917597</v>
      </c>
      <c r="I124" s="38" t="n">
        <v>27387108</v>
      </c>
      <c r="J124" s="38" t="n">
        <v>-663678</v>
      </c>
      <c r="K124" t="n">
        <v>1</v>
      </c>
      <c r="L124" t="n">
        <v>1</v>
      </c>
      <c r="M124">
        <f>ABS(G124)/F124</f>
        <v/>
      </c>
      <c r="N124">
        <f>J124/H124</f>
        <v/>
      </c>
      <c r="O124">
        <f>F124/I124</f>
        <v/>
      </c>
      <c r="P124">
        <f>LN(H124)</f>
        <v/>
      </c>
    </row>
    <row r="125">
      <c r="B125" s="39" t="n"/>
      <c r="C125" s="39" t="n"/>
      <c r="D125" t="n">
        <v>2021</v>
      </c>
      <c r="E125" t="n">
        <v>0</v>
      </c>
      <c r="F125" s="38">
        <f>945069+11771763</f>
        <v/>
      </c>
      <c r="G125" s="38" t="n">
        <v>-5033540</v>
      </c>
      <c r="H125" s="38" t="n">
        <v>60448490</v>
      </c>
      <c r="I125" s="38" t="n">
        <v>28566725</v>
      </c>
      <c r="J125" s="38" t="n">
        <v>1139239</v>
      </c>
      <c r="K125" t="n">
        <v>1</v>
      </c>
      <c r="L125" t="n">
        <v>1</v>
      </c>
      <c r="M125">
        <f>ABS(G125)/F125</f>
        <v/>
      </c>
      <c r="N125">
        <f>J125/H125</f>
        <v/>
      </c>
      <c r="O125">
        <f>F125/I125</f>
        <v/>
      </c>
      <c r="P125">
        <f>LN(H125)</f>
        <v/>
      </c>
    </row>
    <row r="126">
      <c r="B126" s="39" t="n"/>
      <c r="C126" s="39" t="n"/>
      <c r="D126" t="n">
        <v>2022</v>
      </c>
      <c r="E126" t="n">
        <v>0</v>
      </c>
      <c r="F126" s="38">
        <f>331151+13261135</f>
        <v/>
      </c>
      <c r="G126" s="38" t="n">
        <v>-7281659</v>
      </c>
      <c r="H126" s="38" t="n">
        <v>54685390</v>
      </c>
      <c r="I126" s="38" t="n">
        <v>22351184</v>
      </c>
      <c r="J126" s="38" t="n">
        <v>-2858626</v>
      </c>
      <c r="K126" t="n">
        <v>1</v>
      </c>
      <c r="L126" t="n">
        <v>1</v>
      </c>
      <c r="M126">
        <f>ABS(G126)/F126</f>
        <v/>
      </c>
      <c r="N126">
        <f>J126/H126</f>
        <v/>
      </c>
      <c r="O126">
        <f>F126/I126</f>
        <v/>
      </c>
      <c r="P126">
        <f>LN(H126)</f>
        <v/>
      </c>
    </row>
    <row r="127">
      <c r="B127" s="39" t="n"/>
      <c r="C127" s="41" t="n"/>
      <c r="D127" s="1" t="n">
        <v>2023</v>
      </c>
      <c r="E127" s="1" t="n">
        <v>0</v>
      </c>
      <c r="F127" s="42">
        <f>163844+5947858</f>
        <v/>
      </c>
      <c r="G127" s="42" t="n">
        <v>-2513499</v>
      </c>
      <c r="H127" s="42" t="n">
        <v>42747015</v>
      </c>
      <c r="I127" s="42" t="n">
        <v>23120465</v>
      </c>
      <c r="J127" s="42" t="n">
        <v>2974510</v>
      </c>
      <c r="K127" t="n">
        <v>1</v>
      </c>
      <c r="L127" t="n">
        <v>1</v>
      </c>
      <c r="M127">
        <f>ABS(G127)/F127</f>
        <v/>
      </c>
      <c r="N127">
        <f>J127/H127</f>
        <v/>
      </c>
      <c r="O127">
        <f>F127/I127</f>
        <v/>
      </c>
      <c r="P127">
        <f>LN(H127)</f>
        <v/>
      </c>
    </row>
    <row r="128">
      <c r="B128" s="39" t="n"/>
      <c r="C128" s="27" t="inlineStr">
        <is>
          <t>VIVO3</t>
        </is>
      </c>
      <c r="D128" t="n">
        <v>2019</v>
      </c>
      <c r="E128" t="n">
        <v>0</v>
      </c>
      <c r="F128" s="38">
        <f>4126490+9698183</f>
        <v/>
      </c>
      <c r="G128" s="38" t="n">
        <v>-1953011</v>
      </c>
      <c r="H128" s="38" t="n">
        <v>108289722</v>
      </c>
      <c r="I128" s="38" t="n">
        <v>70455578</v>
      </c>
      <c r="J128" s="38" t="n">
        <v>5001014</v>
      </c>
      <c r="K128" t="n">
        <v>1</v>
      </c>
      <c r="L128" t="n">
        <v>1</v>
      </c>
      <c r="M128">
        <f>ABS(G128)/F128</f>
        <v/>
      </c>
      <c r="N128">
        <f>J128/H128</f>
        <v/>
      </c>
      <c r="O128">
        <f>F128/I128</f>
        <v/>
      </c>
      <c r="P128">
        <f>LN(H128)</f>
        <v/>
      </c>
    </row>
    <row r="129">
      <c r="B129" s="39" t="n"/>
      <c r="C129" s="39" t="n"/>
      <c r="D129" t="n">
        <v>2020</v>
      </c>
      <c r="E129" t="n">
        <v>0</v>
      </c>
      <c r="F129" s="38">
        <f>3682472+9556694</f>
        <v/>
      </c>
      <c r="G129" s="38" t="n">
        <v>-1924959</v>
      </c>
      <c r="H129" s="38" t="n">
        <v>108738378</v>
      </c>
      <c r="I129" s="38" t="n">
        <v>69556764</v>
      </c>
      <c r="J129" s="38" t="n">
        <v>4770527</v>
      </c>
      <c r="K129" t="n">
        <v>1</v>
      </c>
      <c r="L129" t="n">
        <v>1</v>
      </c>
      <c r="M129">
        <f>ABS(G129)/F129</f>
        <v/>
      </c>
      <c r="N129">
        <f>J129/H129</f>
        <v/>
      </c>
      <c r="O129">
        <f>F129/I129</f>
        <v/>
      </c>
      <c r="P129">
        <f>LN(H129)</f>
        <v/>
      </c>
    </row>
    <row r="130">
      <c r="B130" s="39" t="n"/>
      <c r="C130" s="39" t="n"/>
      <c r="D130" t="n">
        <v>2021</v>
      </c>
      <c r="E130" t="n">
        <v>0</v>
      </c>
      <c r="F130" s="38">
        <f>6906892+10027086</f>
        <v/>
      </c>
      <c r="G130" s="38" t="n">
        <v>-2437113</v>
      </c>
      <c r="H130" s="38" t="n">
        <v>115663533</v>
      </c>
      <c r="I130" s="38" t="n">
        <v>70006196</v>
      </c>
      <c r="J130" s="38" t="n">
        <v>6229357</v>
      </c>
      <c r="K130" t="n">
        <v>1</v>
      </c>
      <c r="L130" t="n">
        <v>1</v>
      </c>
      <c r="M130">
        <f>ABS(G130)/F130</f>
        <v/>
      </c>
      <c r="N130">
        <f>J130/H130</f>
        <v/>
      </c>
      <c r="O130">
        <f>F130/I130</f>
        <v/>
      </c>
      <c r="P130">
        <f>LN(H130)</f>
        <v/>
      </c>
    </row>
    <row r="131">
      <c r="B131" s="39" t="n"/>
      <c r="C131" s="39" t="n"/>
      <c r="D131" t="n">
        <v>2022</v>
      </c>
      <c r="E131" t="n">
        <v>0</v>
      </c>
      <c r="F131" s="38">
        <f>6019945+13281851</f>
        <v/>
      </c>
      <c r="G131" s="38" t="n">
        <v>-3982518</v>
      </c>
      <c r="H131" s="38" t="n">
        <v>119121483</v>
      </c>
      <c r="I131" s="38" t="n">
        <v>68455847</v>
      </c>
      <c r="J131" s="38" t="n">
        <v>4057902</v>
      </c>
      <c r="K131" t="n">
        <v>1</v>
      </c>
      <c r="L131" t="n">
        <v>1</v>
      </c>
      <c r="M131">
        <f>ABS(G131)/F131</f>
        <v/>
      </c>
      <c r="N131">
        <f>J131/H131</f>
        <v/>
      </c>
      <c r="O131">
        <f>F131/I131</f>
        <v/>
      </c>
      <c r="P131">
        <f>LN(H131)</f>
        <v/>
      </c>
    </row>
    <row r="132">
      <c r="B132" s="39" t="n"/>
      <c r="C132" s="41" t="n"/>
      <c r="D132" s="1" t="n">
        <v>2023</v>
      </c>
      <c r="E132" s="1" t="n">
        <v>0</v>
      </c>
      <c r="F132" s="42">
        <f>4475660+14261567</f>
        <v/>
      </c>
      <c r="G132" s="42" t="n">
        <v>-4386077</v>
      </c>
      <c r="H132" s="42" t="n">
        <v>120737980</v>
      </c>
      <c r="I132" s="42" t="n">
        <v>69627320</v>
      </c>
      <c r="J132" s="42" t="n">
        <v>5039977</v>
      </c>
      <c r="K132" t="n">
        <v>1</v>
      </c>
      <c r="L132" t="n">
        <v>1</v>
      </c>
      <c r="M132">
        <f>ABS(G132)/F132</f>
        <v/>
      </c>
      <c r="N132">
        <f>J132/H132</f>
        <v/>
      </c>
      <c r="O132">
        <f>F132/I132</f>
        <v/>
      </c>
      <c r="P132">
        <f>LN(H132)</f>
        <v/>
      </c>
    </row>
    <row r="133">
      <c r="B133" s="39" t="n"/>
      <c r="C133" s="27" t="inlineStr">
        <is>
          <t>TIMS3</t>
        </is>
      </c>
      <c r="D133" t="n">
        <v>2019</v>
      </c>
      <c r="E133" t="n">
        <v>0</v>
      </c>
      <c r="F133" s="38">
        <f>1384180+644908</f>
        <v/>
      </c>
      <c r="G133" s="38" t="n">
        <v>-1327695</v>
      </c>
      <c r="H133" s="38" t="n">
        <v>39857182</v>
      </c>
      <c r="I133" s="38" t="n">
        <v>22058807</v>
      </c>
      <c r="J133" s="38" t="n">
        <v>3860162</v>
      </c>
      <c r="K133" t="n">
        <v>1</v>
      </c>
      <c r="L133" t="n">
        <v>1</v>
      </c>
      <c r="M133">
        <f>ABS(G133)/F133</f>
        <v/>
      </c>
      <c r="N133">
        <f>J133/H133</f>
        <v/>
      </c>
      <c r="O133">
        <f>F133/I133</f>
        <v/>
      </c>
      <c r="P133">
        <f>LN(H133)</f>
        <v/>
      </c>
    </row>
    <row r="134">
      <c r="B134" s="39" t="n"/>
      <c r="C134" s="39" t="n"/>
      <c r="D134" t="n">
        <v>2020</v>
      </c>
      <c r="E134" t="n">
        <v>0</v>
      </c>
      <c r="F134" s="38">
        <f>1689385+655647</f>
        <v/>
      </c>
      <c r="G134" s="38" t="n">
        <v>-1603683</v>
      </c>
      <c r="H134" s="38" t="n">
        <v>41654417</v>
      </c>
      <c r="I134" s="38" t="n">
        <v>23182745</v>
      </c>
      <c r="J134" s="38" t="n">
        <v>1843690</v>
      </c>
      <c r="K134" t="n">
        <v>1</v>
      </c>
      <c r="L134" t="n">
        <v>1</v>
      </c>
      <c r="M134">
        <f>ABS(G134)/F134</f>
        <v/>
      </c>
      <c r="N134">
        <f>J134/H134</f>
        <v/>
      </c>
      <c r="O134">
        <f>F134/I134</f>
        <v/>
      </c>
      <c r="P134">
        <f>LN(H134)</f>
        <v/>
      </c>
    </row>
    <row r="135">
      <c r="B135" s="39" t="n"/>
      <c r="C135" s="39" t="n"/>
      <c r="D135" t="n">
        <v>2021</v>
      </c>
      <c r="E135" t="n">
        <v>0</v>
      </c>
      <c r="F135" s="38">
        <f>538450+3307015</f>
        <v/>
      </c>
      <c r="G135" s="38" t="n">
        <v>-2265482</v>
      </c>
      <c r="H135" s="38" t="n">
        <v>49819186</v>
      </c>
      <c r="I135" s="38" t="n">
        <v>25107106</v>
      </c>
      <c r="J135" s="38" t="n">
        <v>2957174</v>
      </c>
      <c r="K135" t="n">
        <v>1</v>
      </c>
      <c r="L135" t="n">
        <v>1</v>
      </c>
      <c r="M135">
        <f>ABS(G135)/F135</f>
        <v/>
      </c>
      <c r="N135">
        <f>J135/H135</f>
        <v/>
      </c>
      <c r="O135">
        <f>F135/I135</f>
        <v/>
      </c>
      <c r="P135">
        <f>LN(H135)</f>
        <v/>
      </c>
    </row>
    <row r="136">
      <c r="B136" s="39" t="n"/>
      <c r="C136" s="39" t="n"/>
      <c r="D136" t="n">
        <v>2022</v>
      </c>
      <c r="E136" t="n">
        <v>0</v>
      </c>
      <c r="F136" s="38">
        <f>1264967+3704858</f>
        <v/>
      </c>
      <c r="G136" s="38" t="n">
        <v>-2899023</v>
      </c>
      <c r="H136" s="38" t="n">
        <v>56408367</v>
      </c>
      <c r="I136" s="38" t="n">
        <v>25397365</v>
      </c>
      <c r="J136" s="38" t="n">
        <v>1670755</v>
      </c>
      <c r="K136" t="n">
        <v>1</v>
      </c>
      <c r="L136" t="n">
        <v>1</v>
      </c>
      <c r="M136">
        <f>ABS(G136)/F136</f>
        <v/>
      </c>
      <c r="N136">
        <f>J136/H136</f>
        <v/>
      </c>
      <c r="O136">
        <f>F136/I136</f>
        <v/>
      </c>
      <c r="P136">
        <f>LN(H136)</f>
        <v/>
      </c>
    </row>
    <row r="137">
      <c r="B137" s="39" t="n"/>
      <c r="C137" s="41" t="n"/>
      <c r="D137" s="1" t="n">
        <v>2023</v>
      </c>
      <c r="E137" s="1" t="n">
        <v>0</v>
      </c>
      <c r="F137" s="42">
        <f>1267237+2503709</f>
        <v/>
      </c>
      <c r="G137" s="42" t="n">
        <v>-2967053</v>
      </c>
      <c r="H137" s="42" t="n">
        <v>55260156</v>
      </c>
      <c r="I137" s="42" t="n">
        <v>26015940</v>
      </c>
      <c r="J137" s="42" t="n">
        <v>2837422</v>
      </c>
      <c r="K137" t="n">
        <v>1</v>
      </c>
      <c r="L137" t="n">
        <v>1</v>
      </c>
      <c r="M137">
        <f>ABS(G137)/F137</f>
        <v/>
      </c>
      <c r="N137">
        <f>J137/H137</f>
        <v/>
      </c>
      <c r="O137">
        <f>F137/I137</f>
        <v/>
      </c>
      <c r="P137">
        <f>LN(H137)</f>
        <v/>
      </c>
    </row>
    <row r="138">
      <c r="B138" s="39" t="n"/>
      <c r="C138" s="27" t="inlineStr">
        <is>
          <t>RENT3</t>
        </is>
      </c>
      <c r="D138" t="n">
        <v>2019</v>
      </c>
      <c r="E138" t="n">
        <v>0</v>
      </c>
      <c r="F138" s="38">
        <f>144342+9235117</f>
        <v/>
      </c>
      <c r="G138" s="38" t="n">
        <v>-629966</v>
      </c>
      <c r="H138" s="38" t="n">
        <v>19392960</v>
      </c>
      <c r="I138" s="38" t="n">
        <v>5447532</v>
      </c>
      <c r="J138" s="38" t="n">
        <v>833938</v>
      </c>
      <c r="K138" t="n">
        <v>1</v>
      </c>
      <c r="L138" t="n">
        <v>1</v>
      </c>
      <c r="M138">
        <f>ABS(G138)/F138</f>
        <v/>
      </c>
      <c r="N138">
        <f>J138/H138</f>
        <v/>
      </c>
      <c r="O138">
        <f>F138/I138</f>
        <v/>
      </c>
      <c r="P138">
        <f>LN(H138)</f>
        <v/>
      </c>
    </row>
    <row r="139">
      <c r="B139" s="39" t="n"/>
      <c r="C139" s="39" t="n"/>
      <c r="D139" t="n">
        <v>2020</v>
      </c>
      <c r="E139" t="n">
        <v>0</v>
      </c>
      <c r="F139" s="38">
        <f>1615037+8882686</f>
        <v/>
      </c>
      <c r="G139" s="38" t="n">
        <v>-512383</v>
      </c>
      <c r="H139" s="38" t="n">
        <v>20441134</v>
      </c>
      <c r="I139" s="38" t="n">
        <v>6052659</v>
      </c>
      <c r="J139" s="38" t="n">
        <v>1048180</v>
      </c>
      <c r="K139" t="n">
        <v>1</v>
      </c>
      <c r="L139" t="n">
        <v>1</v>
      </c>
      <c r="M139">
        <f>ABS(G139)/F139</f>
        <v/>
      </c>
      <c r="N139">
        <f>J139/H139</f>
        <v/>
      </c>
      <c r="O139">
        <f>F139/I139</f>
        <v/>
      </c>
      <c r="P139">
        <f>LN(H139)</f>
        <v/>
      </c>
    </row>
    <row r="140">
      <c r="B140" s="39" t="n"/>
      <c r="C140" s="39" t="n"/>
      <c r="D140" t="n">
        <v>2021</v>
      </c>
      <c r="E140" t="n">
        <v>0</v>
      </c>
      <c r="F140" s="38">
        <f>1884758+10548337</f>
        <v/>
      </c>
      <c r="G140" s="38" t="n">
        <v>-576898</v>
      </c>
      <c r="H140" s="38" t="n">
        <v>25312056</v>
      </c>
      <c r="I140" s="38" t="n">
        <v>7617090</v>
      </c>
      <c r="J140" s="38" t="n">
        <v>2043677</v>
      </c>
      <c r="K140" t="n">
        <v>1</v>
      </c>
      <c r="L140" t="n">
        <v>1</v>
      </c>
      <c r="M140">
        <f>ABS(G140)/F140</f>
        <v/>
      </c>
      <c r="N140">
        <f>J140/H140</f>
        <v/>
      </c>
      <c r="O140">
        <f>F140/I140</f>
        <v/>
      </c>
      <c r="P140">
        <f>LN(H140)</f>
        <v/>
      </c>
    </row>
    <row r="141">
      <c r="B141" s="39" t="n"/>
      <c r="C141" s="39" t="n"/>
      <c r="D141" t="n">
        <v>2022</v>
      </c>
      <c r="E141" t="n">
        <v>0</v>
      </c>
      <c r="F141" s="38">
        <f>3353510+29917603</f>
        <v/>
      </c>
      <c r="G141" s="38" t="n">
        <v>-3056044</v>
      </c>
      <c r="H141" s="38" t="n">
        <v>65656631</v>
      </c>
      <c r="I141" s="38" t="n">
        <v>20570605</v>
      </c>
      <c r="J141" s="38" t="n">
        <v>1841207</v>
      </c>
      <c r="K141" t="n">
        <v>1</v>
      </c>
      <c r="L141" t="n">
        <v>1</v>
      </c>
      <c r="M141">
        <f>ABS(G141)/F141</f>
        <v/>
      </c>
      <c r="N141">
        <f>J141/H141</f>
        <v/>
      </c>
      <c r="O141">
        <f>F141/I141</f>
        <v/>
      </c>
      <c r="P141">
        <f>LN(H141)</f>
        <v/>
      </c>
    </row>
    <row r="142">
      <c r="B142" s="39" t="n"/>
      <c r="C142" s="41" t="n"/>
      <c r="D142" s="1" t="n">
        <v>2023</v>
      </c>
      <c r="E142" s="1" t="n">
        <v>0</v>
      </c>
      <c r="F142" s="42">
        <f>7226535+33381098</f>
        <v/>
      </c>
      <c r="G142" s="42" t="n">
        <v>-5249978</v>
      </c>
      <c r="H142" s="42" t="n">
        <v>80947084</v>
      </c>
      <c r="I142" s="42" t="n">
        <v>25397815</v>
      </c>
      <c r="J142" s="42" t="n">
        <v>1803090</v>
      </c>
      <c r="K142" t="n">
        <v>1</v>
      </c>
      <c r="L142" t="n">
        <v>1</v>
      </c>
      <c r="M142">
        <f>ABS(G142)/F142</f>
        <v/>
      </c>
      <c r="N142">
        <f>J142/H142</f>
        <v/>
      </c>
      <c r="O142">
        <f>F142/I142</f>
        <v/>
      </c>
      <c r="P142">
        <f>LN(H142)</f>
        <v/>
      </c>
    </row>
    <row r="143">
      <c r="B143" s="39" t="n"/>
      <c r="C143" s="27" t="inlineStr">
        <is>
          <t>CCRO3</t>
        </is>
      </c>
      <c r="D143" t="n">
        <v>2019</v>
      </c>
      <c r="E143" t="n">
        <v>0</v>
      </c>
      <c r="F143" s="38">
        <f>4050043+14980795</f>
        <v/>
      </c>
      <c r="G143" s="38" t="n">
        <v>-1785888</v>
      </c>
      <c r="H143" s="38" t="n">
        <v>33262087</v>
      </c>
      <c r="I143" s="38" t="n">
        <v>8439694</v>
      </c>
      <c r="J143" s="38" t="n">
        <v>1426452</v>
      </c>
      <c r="K143" t="n">
        <v>1</v>
      </c>
      <c r="L143" t="n">
        <v>1</v>
      </c>
      <c r="M143">
        <f>ABS(G143)/F143</f>
        <v/>
      </c>
      <c r="N143">
        <f>J143/H143</f>
        <v/>
      </c>
      <c r="O143">
        <f>F143/I143</f>
        <v/>
      </c>
      <c r="P143">
        <f>LN(H143)</f>
        <v/>
      </c>
    </row>
    <row r="144">
      <c r="B144" s="39" t="n"/>
      <c r="C144" s="39" t="n"/>
      <c r="D144" t="n">
        <v>2020</v>
      </c>
      <c r="E144" t="n">
        <v>0</v>
      </c>
      <c r="F144" s="38">
        <f>5056805+14847178</f>
        <v/>
      </c>
      <c r="G144" s="38" t="n">
        <v>-1813223</v>
      </c>
      <c r="H144" s="38" t="n">
        <v>33448620</v>
      </c>
      <c r="I144" s="38" t="n">
        <v>7939762</v>
      </c>
      <c r="J144" s="38" t="n">
        <v>86113</v>
      </c>
      <c r="K144" t="n">
        <v>1</v>
      </c>
      <c r="L144" t="n">
        <v>1</v>
      </c>
      <c r="M144">
        <f>ABS(G144)/F144</f>
        <v/>
      </c>
      <c r="N144">
        <f>J144/H144</f>
        <v/>
      </c>
      <c r="O144">
        <f>F144/I144</f>
        <v/>
      </c>
      <c r="P144">
        <f>LN(H144)</f>
        <v/>
      </c>
    </row>
    <row r="145">
      <c r="B145" s="39" t="n"/>
      <c r="C145" s="39" t="n"/>
      <c r="D145" t="n">
        <v>2021</v>
      </c>
      <c r="E145" t="n">
        <v>0</v>
      </c>
      <c r="F145" s="38">
        <f>3484916+23266233</f>
        <v/>
      </c>
      <c r="G145" s="38" t="n">
        <v>-3405833</v>
      </c>
      <c r="H145" s="38" t="n">
        <v>41356444</v>
      </c>
      <c r="I145" s="38" t="n">
        <v>8565800</v>
      </c>
      <c r="J145" s="38" t="n">
        <v>805596</v>
      </c>
      <c r="K145" t="n">
        <v>1</v>
      </c>
      <c r="L145" t="n">
        <v>1</v>
      </c>
      <c r="M145">
        <f>ABS(G145)/F145</f>
        <v/>
      </c>
      <c r="N145">
        <f>J145/H145</f>
        <v/>
      </c>
      <c r="O145">
        <f>F145/I145</f>
        <v/>
      </c>
      <c r="P145">
        <f>LN(H145)</f>
        <v/>
      </c>
    </row>
    <row r="146">
      <c r="B146" s="39" t="n"/>
      <c r="C146" s="39" t="n"/>
      <c r="D146" t="n">
        <v>2022</v>
      </c>
      <c r="E146" t="n">
        <v>0</v>
      </c>
      <c r="F146" s="38">
        <f>7312189+21719065</f>
        <v/>
      </c>
      <c r="G146" s="38" t="n">
        <v>-5328963</v>
      </c>
      <c r="H146" s="38" t="n">
        <v>50547300</v>
      </c>
      <c r="I146" s="38" t="n">
        <v>11822750</v>
      </c>
      <c r="J146" s="38" t="n">
        <v>4212180</v>
      </c>
      <c r="K146" t="n">
        <v>1</v>
      </c>
      <c r="L146" t="n">
        <v>1</v>
      </c>
      <c r="M146">
        <f>ABS(G146)/F146</f>
        <v/>
      </c>
      <c r="N146">
        <f>J146/H146</f>
        <v/>
      </c>
      <c r="O146">
        <f>F146/I146</f>
        <v/>
      </c>
      <c r="P146">
        <f>LN(H146)</f>
        <v/>
      </c>
    </row>
    <row r="147">
      <c r="B147" s="39" t="n"/>
      <c r="C147" s="41" t="n"/>
      <c r="D147" s="1" t="n">
        <v>2023</v>
      </c>
      <c r="E147" s="1" t="n">
        <v>0</v>
      </c>
      <c r="F147" s="42">
        <f>4170768+26483501</f>
        <v/>
      </c>
      <c r="G147" s="42" t="n">
        <v>0</v>
      </c>
      <c r="H147" s="42" t="n">
        <v>54643132</v>
      </c>
      <c r="I147" s="42" t="n">
        <v>13077229</v>
      </c>
      <c r="J147" s="42" t="n">
        <v>1854501</v>
      </c>
      <c r="K147" t="n">
        <v>1</v>
      </c>
      <c r="L147" t="n">
        <v>1</v>
      </c>
      <c r="M147">
        <f>ABS(G147)/F147</f>
        <v/>
      </c>
      <c r="N147">
        <f>J147/H147</f>
        <v/>
      </c>
      <c r="O147">
        <f>F147/I147</f>
        <v/>
      </c>
      <c r="P147">
        <f>LN(H147)</f>
        <v/>
      </c>
    </row>
    <row r="148">
      <c r="B148" s="39" t="n"/>
      <c r="C148" s="27" t="inlineStr">
        <is>
          <t>MDIA3</t>
        </is>
      </c>
      <c r="D148" t="n">
        <v>2019</v>
      </c>
      <c r="E148" t="n">
        <v>0</v>
      </c>
      <c r="F148" s="38">
        <f>608190+371487</f>
        <v/>
      </c>
      <c r="G148" s="38" t="n">
        <v>-222396</v>
      </c>
      <c r="H148" s="38" t="n">
        <v>8101031</v>
      </c>
      <c r="I148" s="38" t="n">
        <v>6034953</v>
      </c>
      <c r="J148" s="38" t="n">
        <v>556884</v>
      </c>
      <c r="K148" t="n">
        <v>0</v>
      </c>
      <c r="L148" t="n">
        <v>0</v>
      </c>
      <c r="M148">
        <f>ABS(G148)/F148</f>
        <v/>
      </c>
      <c r="N148">
        <f>J148/H148</f>
        <v/>
      </c>
      <c r="O148">
        <f>F148/I148</f>
        <v/>
      </c>
      <c r="P148">
        <f>LN(H148)</f>
        <v/>
      </c>
    </row>
    <row r="149">
      <c r="B149" s="39" t="n"/>
      <c r="C149" s="39" t="n"/>
      <c r="D149" t="n">
        <v>2020</v>
      </c>
      <c r="E149" t="n">
        <v>0</v>
      </c>
      <c r="F149" s="38">
        <f>776028+812989</f>
        <v/>
      </c>
      <c r="G149" s="38" t="n">
        <v>-254227</v>
      </c>
      <c r="H149" s="38" t="n">
        <v>9729858</v>
      </c>
      <c r="I149" s="38" t="n">
        <v>6645568</v>
      </c>
      <c r="J149" s="38" t="n">
        <v>763844</v>
      </c>
      <c r="K149" t="n">
        <v>0</v>
      </c>
      <c r="L149" t="n">
        <v>0</v>
      </c>
      <c r="M149">
        <f>ABS(G149)/F149</f>
        <v/>
      </c>
      <c r="N149">
        <f>J149/H149</f>
        <v/>
      </c>
      <c r="O149">
        <f>F149/I149</f>
        <v/>
      </c>
      <c r="P149">
        <f>LN(H149)</f>
        <v/>
      </c>
    </row>
    <row r="150">
      <c r="B150" s="39" t="n"/>
      <c r="C150" s="39" t="n"/>
      <c r="D150" t="n">
        <v>2021</v>
      </c>
      <c r="E150" t="n">
        <v>0</v>
      </c>
      <c r="F150" s="38">
        <f>116026+1651572</f>
        <v/>
      </c>
      <c r="G150" s="38" t="n">
        <v>-300028</v>
      </c>
      <c r="H150" s="38" t="n">
        <v>10657093</v>
      </c>
      <c r="I150" s="38" t="n">
        <v>7032288</v>
      </c>
      <c r="J150" s="38" t="n">
        <v>504986</v>
      </c>
      <c r="K150" t="n">
        <v>1</v>
      </c>
      <c r="L150" t="n">
        <v>1</v>
      </c>
      <c r="M150">
        <f>ABS(G150)/F150</f>
        <v/>
      </c>
      <c r="N150">
        <f>J150/H150</f>
        <v/>
      </c>
      <c r="O150">
        <f>F150/I150</f>
        <v/>
      </c>
      <c r="P150">
        <f>LN(H150)</f>
        <v/>
      </c>
    </row>
    <row r="151">
      <c r="B151" s="39" t="n"/>
      <c r="C151" s="39" t="n"/>
      <c r="D151" t="n">
        <v>2022</v>
      </c>
      <c r="E151" t="n">
        <v>0</v>
      </c>
      <c r="F151" s="38">
        <f>561948+1664599</f>
        <v/>
      </c>
      <c r="G151" s="38" t="n">
        <v>-563527</v>
      </c>
      <c r="H151" s="38" t="n">
        <v>11439492</v>
      </c>
      <c r="I151" s="38" t="n">
        <v>6708721</v>
      </c>
      <c r="J151" s="38" t="n">
        <v>481839</v>
      </c>
      <c r="K151" t="n">
        <v>1</v>
      </c>
      <c r="L151" t="n">
        <v>1</v>
      </c>
      <c r="M151">
        <f>ABS(G151)/F151</f>
        <v/>
      </c>
      <c r="N151">
        <f>J151/H151</f>
        <v/>
      </c>
      <c r="O151">
        <f>F151/I151</f>
        <v/>
      </c>
      <c r="P151">
        <f>LN(H151)</f>
        <v/>
      </c>
    </row>
    <row r="152">
      <c r="A152" s="1" t="n"/>
      <c r="B152" s="41" t="n"/>
      <c r="C152" s="41" t="n"/>
      <c r="D152" s="1" t="n">
        <v>2023</v>
      </c>
      <c r="E152" s="1" t="n">
        <v>0</v>
      </c>
      <c r="F152" s="42">
        <f>522487+1648569</f>
        <v/>
      </c>
      <c r="G152" s="42" t="n">
        <v>-549607</v>
      </c>
      <c r="H152" s="42" t="n">
        <v>12340992</v>
      </c>
      <c r="I152" s="42" t="n">
        <v>7604694</v>
      </c>
      <c r="J152" s="42" t="n">
        <v>888654</v>
      </c>
      <c r="K152" t="n">
        <v>1</v>
      </c>
      <c r="L152" t="n">
        <v>1</v>
      </c>
      <c r="M152">
        <f>ABS(G152)/F152</f>
        <v/>
      </c>
      <c r="N152">
        <f>J152/H152</f>
        <v/>
      </c>
      <c r="O152">
        <f>F152/I152</f>
        <v/>
      </c>
      <c r="P152">
        <f>LN(H152)</f>
        <v/>
      </c>
    </row>
    <row r="153">
      <c r="A153" s="3" t="n"/>
    </row>
    <row r="154">
      <c r="A154" s="3" t="n"/>
    </row>
    <row r="155">
      <c r="A155" s="3" t="n"/>
    </row>
    <row r="156">
      <c r="A156" s="3" t="n"/>
    </row>
    <row r="157">
      <c r="A157" s="3" t="n"/>
    </row>
    <row r="158">
      <c r="A158" s="3" t="n"/>
    </row>
    <row r="159">
      <c r="A159" s="3" t="n"/>
    </row>
    <row r="160">
      <c r="A160" s="3" t="n"/>
    </row>
    <row r="161">
      <c r="A161" s="3" t="n"/>
    </row>
    <row r="162">
      <c r="A162" s="3" t="n"/>
    </row>
    <row r="163">
      <c r="A163" s="3" t="n"/>
    </row>
    <row r="164">
      <c r="A164" s="3" t="n"/>
    </row>
    <row r="165">
      <c r="A165" s="3" t="n"/>
    </row>
    <row r="166">
      <c r="A166" s="3" t="n"/>
    </row>
    <row r="167">
      <c r="A167" s="3" t="n"/>
    </row>
    <row r="168">
      <c r="A168" s="3" t="n"/>
    </row>
    <row r="169">
      <c r="A169" s="3" t="n"/>
    </row>
    <row r="170">
      <c r="A170" s="3" t="n"/>
    </row>
    <row r="171">
      <c r="A171" s="3" t="n"/>
    </row>
    <row r="172">
      <c r="A172" s="3" t="n"/>
    </row>
    <row r="173">
      <c r="A173" s="3" t="n"/>
    </row>
    <row r="174">
      <c r="A174" s="3" t="n"/>
    </row>
    <row r="175">
      <c r="A175" s="3" t="n"/>
    </row>
    <row r="176">
      <c r="A176" s="3" t="n"/>
    </row>
    <row r="177">
      <c r="A177" s="3" t="n"/>
    </row>
    <row r="178">
      <c r="A178" s="3" t="n"/>
    </row>
    <row r="179">
      <c r="A179" s="3" t="n"/>
    </row>
    <row r="180">
      <c r="A180" s="3" t="n"/>
    </row>
    <row r="181">
      <c r="A181" s="3" t="n"/>
    </row>
    <row r="182">
      <c r="A182" s="3" t="n"/>
    </row>
    <row r="183">
      <c r="A183" s="3" t="n"/>
    </row>
    <row r="184">
      <c r="A184" s="3" t="n"/>
    </row>
    <row r="185">
      <c r="A185" s="3" t="n"/>
    </row>
    <row r="186">
      <c r="A186" s="3" t="n"/>
    </row>
    <row r="187">
      <c r="A187" s="3" t="n"/>
    </row>
    <row r="188">
      <c r="A188" s="3" t="n"/>
    </row>
    <row r="189">
      <c r="A189" s="3" t="n"/>
    </row>
    <row r="190">
      <c r="A190" s="3" t="n"/>
    </row>
    <row r="191">
      <c r="A191" s="3" t="n"/>
    </row>
    <row r="192">
      <c r="A192" s="3" t="n"/>
    </row>
    <row r="193">
      <c r="A193" s="3" t="n"/>
    </row>
    <row r="194">
      <c r="A194" s="3" t="n"/>
    </row>
    <row r="195">
      <c r="A195" s="3" t="n"/>
    </row>
    <row r="196">
      <c r="A196" s="3" t="n"/>
    </row>
    <row r="197">
      <c r="A197" s="3" t="n"/>
    </row>
    <row r="198">
      <c r="A198" s="3" t="n"/>
    </row>
    <row r="199">
      <c r="A199" s="3" t="n"/>
    </row>
    <row r="200">
      <c r="A200" s="3" t="n"/>
    </row>
    <row r="201">
      <c r="A201" s="3" t="n"/>
    </row>
    <row r="202">
      <c r="A202" s="4" t="n"/>
    </row>
  </sheetData>
  <autoFilter ref="C2:E152"/>
  <mergeCells count="42">
    <mergeCell ref="C1:E1"/>
    <mergeCell ref="C123:C127"/>
    <mergeCell ref="C138:C142"/>
    <mergeCell ref="B78:B102"/>
    <mergeCell ref="C148:C152"/>
    <mergeCell ref="C43:C47"/>
    <mergeCell ref="C8:C12"/>
    <mergeCell ref="C23:C27"/>
    <mergeCell ref="C48:C52"/>
    <mergeCell ref="C13:C17"/>
    <mergeCell ref="K1:L1"/>
    <mergeCell ref="A103:A152"/>
    <mergeCell ref="C38:C42"/>
    <mergeCell ref="C3:C7"/>
    <mergeCell ref="C28:C32"/>
    <mergeCell ref="C53:C57"/>
    <mergeCell ref="C58:C62"/>
    <mergeCell ref="C18:C22"/>
    <mergeCell ref="A2:B2"/>
    <mergeCell ref="C78:C82"/>
    <mergeCell ref="C68:C72"/>
    <mergeCell ref="C108:C112"/>
    <mergeCell ref="C33:C37"/>
    <mergeCell ref="B3:B27"/>
    <mergeCell ref="B103:B152"/>
    <mergeCell ref="C113:C117"/>
    <mergeCell ref="A3:A102"/>
    <mergeCell ref="C98:C102"/>
    <mergeCell ref="C83:C87"/>
    <mergeCell ref="C63:C67"/>
    <mergeCell ref="C128:C132"/>
    <mergeCell ref="C73:C77"/>
    <mergeCell ref="C88:C92"/>
    <mergeCell ref="B53:B62"/>
    <mergeCell ref="C118:C122"/>
    <mergeCell ref="C103:C107"/>
    <mergeCell ref="C143:C147"/>
    <mergeCell ref="B63:B77"/>
    <mergeCell ref="F1:J1"/>
    <mergeCell ref="C93:C97"/>
    <mergeCell ref="B28:B52"/>
    <mergeCell ref="C133:C137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1"/>
  <sheetViews>
    <sheetView topLeftCell="A31" workbookViewId="0">
      <selection activeCell="O32" sqref="O32"/>
    </sheetView>
  </sheetViews>
  <sheetFormatPr baseColWidth="8" defaultRowHeight="15"/>
  <cols>
    <col width="7.7109375" bestFit="1" customWidth="1" style="30" min="1" max="1"/>
    <col width="5.5703125" bestFit="1" customWidth="1" style="30" min="2" max="2"/>
    <col width="14.85546875" bestFit="1" customWidth="1" style="30" min="3" max="3"/>
    <col width="12.85546875" bestFit="1" customWidth="1" style="30" min="4" max="4"/>
    <col width="13.5703125" bestFit="1" customWidth="1" style="30" min="5" max="5"/>
    <col width="8.140625" bestFit="1" customWidth="1" style="30" min="6" max="6"/>
    <col width="10" bestFit="1" customWidth="1" style="30" min="7" max="7"/>
    <col width="12.85546875" bestFit="1" customWidth="1" style="30" min="8" max="8"/>
    <col width="5" bestFit="1" customWidth="1" style="30" min="9" max="9"/>
  </cols>
  <sheetData>
    <row r="1" customFormat="1" s="6">
      <c r="A1" s="5" t="inlineStr">
        <is>
          <t xml:space="preserve">Ticker </t>
        </is>
      </c>
      <c r="B1" s="5" t="inlineStr">
        <is>
          <t>Ano</t>
        </is>
      </c>
      <c r="C1" s="5" t="inlineStr">
        <is>
          <t>Setor_Intensivo</t>
        </is>
      </c>
      <c r="D1" s="5" t="inlineStr">
        <is>
          <t>Custo_Dívida</t>
        </is>
      </c>
      <c r="E1" s="5" t="inlineStr">
        <is>
          <t>Disc_Carbono</t>
        </is>
      </c>
      <c r="F1" s="5" t="inlineStr">
        <is>
          <t>Gov_ISE</t>
        </is>
      </c>
      <c r="G1" s="5" t="inlineStr">
        <is>
          <t>Tam_Ativo</t>
        </is>
      </c>
      <c r="H1" s="5" t="inlineStr">
        <is>
          <t>Alavancagem</t>
        </is>
      </c>
      <c r="I1" s="5" t="inlineStr">
        <is>
          <t>ROA</t>
        </is>
      </c>
    </row>
    <row r="2">
      <c r="A2" t="inlineStr">
        <is>
          <t>VALE3</t>
        </is>
      </c>
      <c r="B2" t="n">
        <v>2019</v>
      </c>
      <c r="C2">
        <f>Planilha1!E3</f>
        <v/>
      </c>
      <c r="D2">
        <f>Planilha1!M3</f>
        <v/>
      </c>
      <c r="E2">
        <f>Planilha1!L3</f>
        <v/>
      </c>
      <c r="F2">
        <f>Planilha1!K3</f>
        <v/>
      </c>
      <c r="G2">
        <f>Planilha1!P3</f>
        <v/>
      </c>
      <c r="H2">
        <f>Planilha1!O3</f>
        <v/>
      </c>
      <c r="I2">
        <f>Planilha1!N3</f>
        <v/>
      </c>
    </row>
    <row r="3">
      <c r="A3" t="inlineStr">
        <is>
          <t>VALE3</t>
        </is>
      </c>
      <c r="B3" t="n">
        <v>2020</v>
      </c>
      <c r="C3">
        <f>Planilha1!E4</f>
        <v/>
      </c>
      <c r="D3">
        <f>Planilha1!M4</f>
        <v/>
      </c>
      <c r="E3">
        <f>Planilha1!L4</f>
        <v/>
      </c>
      <c r="F3">
        <f>Planilha1!K4</f>
        <v/>
      </c>
      <c r="G3">
        <f>Planilha1!P4</f>
        <v/>
      </c>
      <c r="H3">
        <f>Planilha1!O4</f>
        <v/>
      </c>
      <c r="I3">
        <f>Planilha1!N4</f>
        <v/>
      </c>
    </row>
    <row r="4">
      <c r="A4" t="inlineStr">
        <is>
          <t>VALE3</t>
        </is>
      </c>
      <c r="B4" t="n">
        <v>2021</v>
      </c>
      <c r="C4">
        <f>Planilha1!E5</f>
        <v/>
      </c>
      <c r="D4">
        <f>Planilha1!M5</f>
        <v/>
      </c>
      <c r="E4">
        <f>Planilha1!L5</f>
        <v/>
      </c>
      <c r="F4">
        <f>Planilha1!K5</f>
        <v/>
      </c>
      <c r="G4">
        <f>Planilha1!P5</f>
        <v/>
      </c>
      <c r="H4">
        <f>Planilha1!O5</f>
        <v/>
      </c>
      <c r="I4">
        <f>Planilha1!N5</f>
        <v/>
      </c>
    </row>
    <row r="5">
      <c r="A5" t="inlineStr">
        <is>
          <t>VALE3</t>
        </is>
      </c>
      <c r="B5" t="n">
        <v>2022</v>
      </c>
      <c r="C5">
        <f>Planilha1!E6</f>
        <v/>
      </c>
      <c r="D5">
        <f>Planilha1!M6</f>
        <v/>
      </c>
      <c r="E5">
        <f>Planilha1!L6</f>
        <v/>
      </c>
      <c r="F5">
        <f>Planilha1!K6</f>
        <v/>
      </c>
      <c r="G5">
        <f>Planilha1!P6</f>
        <v/>
      </c>
      <c r="H5">
        <f>Planilha1!O6</f>
        <v/>
      </c>
      <c r="I5">
        <f>Planilha1!N6</f>
        <v/>
      </c>
    </row>
    <row r="6">
      <c r="A6" t="inlineStr">
        <is>
          <t>VALE3</t>
        </is>
      </c>
      <c r="B6" t="n">
        <v>2023</v>
      </c>
      <c r="C6">
        <f>Planilha1!E7</f>
        <v/>
      </c>
      <c r="D6">
        <f>Planilha1!M7</f>
        <v/>
      </c>
      <c r="E6">
        <f>Planilha1!L7</f>
        <v/>
      </c>
      <c r="F6">
        <f>Planilha1!K7</f>
        <v/>
      </c>
      <c r="G6">
        <f>Planilha1!P7</f>
        <v/>
      </c>
      <c r="H6">
        <f>Planilha1!O7</f>
        <v/>
      </c>
      <c r="I6">
        <f>Planilha1!N7</f>
        <v/>
      </c>
    </row>
    <row r="7">
      <c r="A7" t="inlineStr">
        <is>
          <t>CSNA3</t>
        </is>
      </c>
      <c r="B7" t="n">
        <v>2019</v>
      </c>
      <c r="C7">
        <f>Planilha1!E8</f>
        <v/>
      </c>
      <c r="D7">
        <f>Planilha1!M8</f>
        <v/>
      </c>
      <c r="E7">
        <f>Planilha1!L8</f>
        <v/>
      </c>
      <c r="F7">
        <f>Planilha1!K8</f>
        <v/>
      </c>
      <c r="G7">
        <f>Planilha1!P8</f>
        <v/>
      </c>
      <c r="H7">
        <f>Planilha1!O8</f>
        <v/>
      </c>
      <c r="I7">
        <f>Planilha1!N8</f>
        <v/>
      </c>
    </row>
    <row r="8">
      <c r="A8" t="inlineStr">
        <is>
          <t>CSNA3</t>
        </is>
      </c>
      <c r="B8" t="n">
        <v>2020</v>
      </c>
      <c r="C8">
        <f>Planilha1!E9</f>
        <v/>
      </c>
      <c r="D8">
        <f>Planilha1!M9</f>
        <v/>
      </c>
      <c r="E8">
        <f>Planilha1!L9</f>
        <v/>
      </c>
      <c r="F8">
        <f>Planilha1!K9</f>
        <v/>
      </c>
      <c r="G8">
        <f>Planilha1!P9</f>
        <v/>
      </c>
      <c r="H8">
        <f>Planilha1!O9</f>
        <v/>
      </c>
      <c r="I8">
        <f>Planilha1!N9</f>
        <v/>
      </c>
    </row>
    <row r="9">
      <c r="A9" t="inlineStr">
        <is>
          <t>CSNA3</t>
        </is>
      </c>
      <c r="B9" t="n">
        <v>2021</v>
      </c>
      <c r="C9">
        <f>Planilha1!E10</f>
        <v/>
      </c>
      <c r="D9">
        <f>Planilha1!M10</f>
        <v/>
      </c>
      <c r="E9">
        <f>Planilha1!L10</f>
        <v/>
      </c>
      <c r="F9">
        <f>Planilha1!K10</f>
        <v/>
      </c>
      <c r="G9">
        <f>Planilha1!P10</f>
        <v/>
      </c>
      <c r="H9">
        <f>Planilha1!O10</f>
        <v/>
      </c>
      <c r="I9">
        <f>Planilha1!N10</f>
        <v/>
      </c>
    </row>
    <row r="10">
      <c r="A10" t="inlineStr">
        <is>
          <t>CSNA3</t>
        </is>
      </c>
      <c r="B10" t="n">
        <v>2022</v>
      </c>
      <c r="C10">
        <f>Planilha1!E11</f>
        <v/>
      </c>
      <c r="D10">
        <f>Planilha1!M11</f>
        <v/>
      </c>
      <c r="E10">
        <f>Planilha1!L11</f>
        <v/>
      </c>
      <c r="F10">
        <f>Planilha1!K11</f>
        <v/>
      </c>
      <c r="G10">
        <f>Planilha1!P11</f>
        <v/>
      </c>
      <c r="H10">
        <f>Planilha1!O11</f>
        <v/>
      </c>
      <c r="I10">
        <f>Planilha1!N11</f>
        <v/>
      </c>
    </row>
    <row r="11">
      <c r="A11" t="inlineStr">
        <is>
          <t>CSNA3</t>
        </is>
      </c>
      <c r="B11" t="n">
        <v>2023</v>
      </c>
      <c r="C11">
        <f>Planilha1!E12</f>
        <v/>
      </c>
      <c r="D11">
        <f>Planilha1!M12</f>
        <v/>
      </c>
      <c r="E11">
        <f>Planilha1!L12</f>
        <v/>
      </c>
      <c r="F11">
        <f>Planilha1!K12</f>
        <v/>
      </c>
      <c r="G11">
        <f>Planilha1!P12</f>
        <v/>
      </c>
      <c r="H11">
        <f>Planilha1!O12</f>
        <v/>
      </c>
      <c r="I11">
        <f>Planilha1!N12</f>
        <v/>
      </c>
    </row>
    <row r="12">
      <c r="A12" t="inlineStr">
        <is>
          <t>USIM5</t>
        </is>
      </c>
      <c r="B12" t="n">
        <v>2019</v>
      </c>
      <c r="C12">
        <f>Planilha1!E13</f>
        <v/>
      </c>
      <c r="D12">
        <f>Planilha1!M13</f>
        <v/>
      </c>
      <c r="E12">
        <f>Planilha1!L13</f>
        <v/>
      </c>
      <c r="F12">
        <f>Planilha1!K13</f>
        <v/>
      </c>
      <c r="G12">
        <f>Planilha1!P13</f>
        <v/>
      </c>
      <c r="H12">
        <f>Planilha1!O13</f>
        <v/>
      </c>
      <c r="I12">
        <f>Planilha1!N13</f>
        <v/>
      </c>
    </row>
    <row r="13">
      <c r="A13" t="inlineStr">
        <is>
          <t>USIM5</t>
        </is>
      </c>
      <c r="B13" t="n">
        <v>2020</v>
      </c>
      <c r="C13">
        <f>Planilha1!E14</f>
        <v/>
      </c>
      <c r="D13">
        <f>Planilha1!M14</f>
        <v/>
      </c>
      <c r="E13">
        <f>Planilha1!L14</f>
        <v/>
      </c>
      <c r="F13">
        <f>Planilha1!K14</f>
        <v/>
      </c>
      <c r="G13">
        <f>Planilha1!P14</f>
        <v/>
      </c>
      <c r="H13">
        <f>Planilha1!O14</f>
        <v/>
      </c>
      <c r="I13">
        <f>Planilha1!N14</f>
        <v/>
      </c>
    </row>
    <row r="14">
      <c r="A14" t="inlineStr">
        <is>
          <t>USIM5</t>
        </is>
      </c>
      <c r="B14" t="n">
        <v>2021</v>
      </c>
      <c r="C14">
        <f>Planilha1!E15</f>
        <v/>
      </c>
      <c r="D14">
        <f>Planilha1!M15</f>
        <v/>
      </c>
      <c r="E14">
        <f>Planilha1!L15</f>
        <v/>
      </c>
      <c r="F14">
        <f>Planilha1!K15</f>
        <v/>
      </c>
      <c r="G14">
        <f>Planilha1!P15</f>
        <v/>
      </c>
      <c r="H14">
        <f>Planilha1!O15</f>
        <v/>
      </c>
      <c r="I14">
        <f>Planilha1!N15</f>
        <v/>
      </c>
    </row>
    <row r="15">
      <c r="A15" t="inlineStr">
        <is>
          <t>USIM5</t>
        </is>
      </c>
      <c r="B15" t="n">
        <v>2022</v>
      </c>
      <c r="C15">
        <f>Planilha1!E16</f>
        <v/>
      </c>
      <c r="D15">
        <f>Planilha1!M16</f>
        <v/>
      </c>
      <c r="E15">
        <f>Planilha1!L16</f>
        <v/>
      </c>
      <c r="F15">
        <f>Planilha1!K16</f>
        <v/>
      </c>
      <c r="G15">
        <f>Planilha1!P16</f>
        <v/>
      </c>
      <c r="H15">
        <f>Planilha1!O16</f>
        <v/>
      </c>
      <c r="I15">
        <f>Planilha1!N16</f>
        <v/>
      </c>
    </row>
    <row r="16">
      <c r="A16" t="inlineStr">
        <is>
          <t>USIM5</t>
        </is>
      </c>
      <c r="B16" t="n">
        <v>2023</v>
      </c>
      <c r="C16">
        <f>Planilha1!E17</f>
        <v/>
      </c>
      <c r="D16">
        <f>Planilha1!M17</f>
        <v/>
      </c>
      <c r="E16">
        <f>Planilha1!L17</f>
        <v/>
      </c>
      <c r="F16">
        <f>Planilha1!K17</f>
        <v/>
      </c>
      <c r="G16">
        <f>Planilha1!P17</f>
        <v/>
      </c>
      <c r="H16">
        <f>Planilha1!O17</f>
        <v/>
      </c>
      <c r="I16">
        <f>Planilha1!N17</f>
        <v/>
      </c>
    </row>
    <row r="17">
      <c r="A17" t="inlineStr">
        <is>
          <t>GGBR4</t>
        </is>
      </c>
      <c r="B17" t="n">
        <v>2019</v>
      </c>
      <c r="C17">
        <f>Planilha1!E18</f>
        <v/>
      </c>
      <c r="D17">
        <f>Planilha1!M18</f>
        <v/>
      </c>
      <c r="E17">
        <f>Planilha1!L18</f>
        <v/>
      </c>
      <c r="F17">
        <f>Planilha1!K18</f>
        <v/>
      </c>
      <c r="G17">
        <f>Planilha1!P18</f>
        <v/>
      </c>
      <c r="H17">
        <f>Planilha1!O18</f>
        <v/>
      </c>
      <c r="I17">
        <f>Planilha1!N18</f>
        <v/>
      </c>
    </row>
    <row r="18">
      <c r="A18" t="inlineStr">
        <is>
          <t>GGBR4</t>
        </is>
      </c>
      <c r="B18" t="n">
        <v>2020</v>
      </c>
      <c r="C18">
        <f>Planilha1!E19</f>
        <v/>
      </c>
      <c r="D18">
        <f>Planilha1!M19</f>
        <v/>
      </c>
      <c r="E18">
        <f>Planilha1!L19</f>
        <v/>
      </c>
      <c r="F18">
        <f>Planilha1!K19</f>
        <v/>
      </c>
      <c r="G18">
        <f>Planilha1!P19</f>
        <v/>
      </c>
      <c r="H18">
        <f>Planilha1!O19</f>
        <v/>
      </c>
      <c r="I18">
        <f>Planilha1!N19</f>
        <v/>
      </c>
    </row>
    <row r="19">
      <c r="A19" t="inlineStr">
        <is>
          <t>GGBR4</t>
        </is>
      </c>
      <c r="B19" t="n">
        <v>2021</v>
      </c>
      <c r="C19">
        <f>Planilha1!E20</f>
        <v/>
      </c>
      <c r="D19">
        <f>Planilha1!M20</f>
        <v/>
      </c>
      <c r="E19">
        <f>Planilha1!L20</f>
        <v/>
      </c>
      <c r="F19">
        <f>Planilha1!K20</f>
        <v/>
      </c>
      <c r="G19">
        <f>Planilha1!P20</f>
        <v/>
      </c>
      <c r="H19">
        <f>Planilha1!O20</f>
        <v/>
      </c>
      <c r="I19">
        <f>Planilha1!N20</f>
        <v/>
      </c>
    </row>
    <row r="20">
      <c r="A20" t="inlineStr">
        <is>
          <t>GGBR4</t>
        </is>
      </c>
      <c r="B20" t="n">
        <v>2022</v>
      </c>
      <c r="C20">
        <f>Planilha1!E21</f>
        <v/>
      </c>
      <c r="D20">
        <f>Planilha1!M21</f>
        <v/>
      </c>
      <c r="E20">
        <f>Planilha1!L21</f>
        <v/>
      </c>
      <c r="F20">
        <f>Planilha1!K21</f>
        <v/>
      </c>
      <c r="G20">
        <f>Planilha1!P21</f>
        <v/>
      </c>
      <c r="H20">
        <f>Planilha1!O21</f>
        <v/>
      </c>
      <c r="I20">
        <f>Planilha1!N21</f>
        <v/>
      </c>
    </row>
    <row r="21">
      <c r="A21" t="inlineStr">
        <is>
          <t>GGBR4</t>
        </is>
      </c>
      <c r="B21" t="n">
        <v>2023</v>
      </c>
      <c r="C21">
        <f>Planilha1!E22</f>
        <v/>
      </c>
      <c r="D21">
        <f>Planilha1!M22</f>
        <v/>
      </c>
      <c r="E21">
        <f>Planilha1!L22</f>
        <v/>
      </c>
      <c r="F21">
        <f>Planilha1!K22</f>
        <v/>
      </c>
      <c r="G21">
        <f>Planilha1!P22</f>
        <v/>
      </c>
      <c r="H21">
        <f>Planilha1!O22</f>
        <v/>
      </c>
      <c r="I21">
        <f>Planilha1!N22</f>
        <v/>
      </c>
    </row>
    <row r="22">
      <c r="A22" t="inlineStr">
        <is>
          <t>GOAU4</t>
        </is>
      </c>
      <c r="B22" t="n">
        <v>2019</v>
      </c>
      <c r="C22">
        <f>Planilha1!E23</f>
        <v/>
      </c>
      <c r="D22">
        <f>Planilha1!M23</f>
        <v/>
      </c>
      <c r="E22">
        <f>Planilha1!L23</f>
        <v/>
      </c>
      <c r="F22">
        <f>Planilha1!K23</f>
        <v/>
      </c>
      <c r="G22">
        <f>Planilha1!P23</f>
        <v/>
      </c>
      <c r="H22">
        <f>Planilha1!O23</f>
        <v/>
      </c>
      <c r="I22">
        <f>Planilha1!N23</f>
        <v/>
      </c>
    </row>
    <row r="23">
      <c r="A23" t="inlineStr">
        <is>
          <t>GOAU4</t>
        </is>
      </c>
      <c r="B23" t="n">
        <v>2020</v>
      </c>
      <c r="C23">
        <f>Planilha1!E24</f>
        <v/>
      </c>
      <c r="D23">
        <f>Planilha1!M24</f>
        <v/>
      </c>
      <c r="E23">
        <f>Planilha1!L24</f>
        <v/>
      </c>
      <c r="F23">
        <f>Planilha1!K24</f>
        <v/>
      </c>
      <c r="G23">
        <f>Planilha1!P24</f>
        <v/>
      </c>
      <c r="H23">
        <f>Planilha1!O24</f>
        <v/>
      </c>
      <c r="I23">
        <f>Planilha1!N24</f>
        <v/>
      </c>
    </row>
    <row r="24">
      <c r="A24" t="inlineStr">
        <is>
          <t>GOAU4</t>
        </is>
      </c>
      <c r="B24" t="n">
        <v>2021</v>
      </c>
      <c r="C24">
        <f>Planilha1!E25</f>
        <v/>
      </c>
      <c r="D24">
        <f>Planilha1!M25</f>
        <v/>
      </c>
      <c r="E24">
        <f>Planilha1!L25</f>
        <v/>
      </c>
      <c r="F24">
        <f>Planilha1!K25</f>
        <v/>
      </c>
      <c r="G24">
        <f>Planilha1!P25</f>
        <v/>
      </c>
      <c r="H24">
        <f>Planilha1!O25</f>
        <v/>
      </c>
      <c r="I24">
        <f>Planilha1!N25</f>
        <v/>
      </c>
    </row>
    <row r="25">
      <c r="A25" t="inlineStr">
        <is>
          <t>GOAU4</t>
        </is>
      </c>
      <c r="B25" t="n">
        <v>2022</v>
      </c>
      <c r="C25">
        <f>Planilha1!E26</f>
        <v/>
      </c>
      <c r="D25">
        <f>Planilha1!M26</f>
        <v/>
      </c>
      <c r="E25">
        <f>Planilha1!L26</f>
        <v/>
      </c>
      <c r="F25">
        <f>Planilha1!K26</f>
        <v/>
      </c>
      <c r="G25">
        <f>Planilha1!P26</f>
        <v/>
      </c>
      <c r="H25">
        <f>Planilha1!O26</f>
        <v/>
      </c>
      <c r="I25">
        <f>Planilha1!N26</f>
        <v/>
      </c>
    </row>
    <row r="26">
      <c r="A26" t="inlineStr">
        <is>
          <t>GOAU4</t>
        </is>
      </c>
      <c r="B26" t="n">
        <v>2023</v>
      </c>
      <c r="C26">
        <f>Planilha1!E27</f>
        <v/>
      </c>
      <c r="D26">
        <f>Planilha1!M27</f>
        <v/>
      </c>
      <c r="E26">
        <f>Planilha1!L27</f>
        <v/>
      </c>
      <c r="F26">
        <f>Planilha1!K27</f>
        <v/>
      </c>
      <c r="G26">
        <f>Planilha1!P27</f>
        <v/>
      </c>
      <c r="H26">
        <f>Planilha1!O27</f>
        <v/>
      </c>
      <c r="I26">
        <f>Planilha1!N27</f>
        <v/>
      </c>
    </row>
    <row r="27">
      <c r="A27" t="inlineStr">
        <is>
          <t>PETR4</t>
        </is>
      </c>
      <c r="B27" t="n">
        <v>2019</v>
      </c>
      <c r="C27">
        <f>Planilha1!E28</f>
        <v/>
      </c>
      <c r="D27">
        <f>Planilha1!M28</f>
        <v/>
      </c>
      <c r="E27">
        <f>Planilha1!L28</f>
        <v/>
      </c>
      <c r="F27">
        <f>Planilha1!K28</f>
        <v/>
      </c>
      <c r="G27">
        <f>Planilha1!P28</f>
        <v/>
      </c>
      <c r="H27">
        <f>Planilha1!O28</f>
        <v/>
      </c>
      <c r="I27">
        <f>Planilha1!N28</f>
        <v/>
      </c>
    </row>
    <row r="28">
      <c r="A28" t="inlineStr">
        <is>
          <t>PETR4</t>
        </is>
      </c>
      <c r="B28" t="n">
        <v>2020</v>
      </c>
      <c r="C28">
        <f>Planilha1!E29</f>
        <v/>
      </c>
      <c r="D28">
        <f>Planilha1!M29</f>
        <v/>
      </c>
      <c r="E28">
        <f>Planilha1!L29</f>
        <v/>
      </c>
      <c r="F28">
        <f>Planilha1!K29</f>
        <v/>
      </c>
      <c r="G28">
        <f>Planilha1!P29</f>
        <v/>
      </c>
      <c r="H28">
        <f>Planilha1!O29</f>
        <v/>
      </c>
      <c r="I28">
        <f>Planilha1!N29</f>
        <v/>
      </c>
    </row>
    <row r="29">
      <c r="A29" t="inlineStr">
        <is>
          <t>PETR4</t>
        </is>
      </c>
      <c r="B29" t="n">
        <v>2021</v>
      </c>
      <c r="C29">
        <f>Planilha1!E30</f>
        <v/>
      </c>
      <c r="D29">
        <f>Planilha1!M30</f>
        <v/>
      </c>
      <c r="E29">
        <f>Planilha1!L30</f>
        <v/>
      </c>
      <c r="F29">
        <f>Planilha1!K30</f>
        <v/>
      </c>
      <c r="G29">
        <f>Planilha1!P30</f>
        <v/>
      </c>
      <c r="H29">
        <f>Planilha1!O30</f>
        <v/>
      </c>
      <c r="I29">
        <f>Planilha1!N30</f>
        <v/>
      </c>
    </row>
    <row r="30">
      <c r="A30" t="inlineStr">
        <is>
          <t>PETR4</t>
        </is>
      </c>
      <c r="B30" t="n">
        <v>2022</v>
      </c>
      <c r="C30">
        <f>Planilha1!E31</f>
        <v/>
      </c>
      <c r="D30">
        <f>Planilha1!M31</f>
        <v/>
      </c>
      <c r="E30">
        <f>Planilha1!L31</f>
        <v/>
      </c>
      <c r="F30">
        <f>Planilha1!K31</f>
        <v/>
      </c>
      <c r="G30">
        <f>Planilha1!P31</f>
        <v/>
      </c>
      <c r="H30">
        <f>Planilha1!O31</f>
        <v/>
      </c>
      <c r="I30">
        <f>Planilha1!N31</f>
        <v/>
      </c>
    </row>
    <row r="31">
      <c r="A31" t="inlineStr">
        <is>
          <t>PETR4</t>
        </is>
      </c>
      <c r="B31" t="n">
        <v>2023</v>
      </c>
      <c r="C31">
        <f>Planilha1!E32</f>
        <v/>
      </c>
      <c r="D31">
        <f>Planilha1!M32</f>
        <v/>
      </c>
      <c r="E31">
        <f>Planilha1!L32</f>
        <v/>
      </c>
      <c r="F31">
        <f>Planilha1!K32</f>
        <v/>
      </c>
      <c r="G31">
        <f>Planilha1!P32</f>
        <v/>
      </c>
      <c r="H31">
        <f>Planilha1!O32</f>
        <v/>
      </c>
      <c r="I31">
        <f>Planilha1!N32</f>
        <v/>
      </c>
    </row>
    <row r="32">
      <c r="A32" t="inlineStr">
        <is>
          <t>PRIO3</t>
        </is>
      </c>
      <c r="B32" t="n">
        <v>2019</v>
      </c>
      <c r="C32">
        <f>Planilha1!E33</f>
        <v/>
      </c>
      <c r="D32">
        <f>Planilha1!M33</f>
        <v/>
      </c>
      <c r="E32">
        <f>Planilha1!L33</f>
        <v/>
      </c>
      <c r="F32">
        <f>Planilha1!K33</f>
        <v/>
      </c>
      <c r="G32">
        <f>Planilha1!P33</f>
        <v/>
      </c>
      <c r="H32">
        <f>Planilha1!O33</f>
        <v/>
      </c>
      <c r="I32">
        <f>Planilha1!N33</f>
        <v/>
      </c>
    </row>
    <row r="33">
      <c r="A33" t="inlineStr">
        <is>
          <t>PRIO3</t>
        </is>
      </c>
      <c r="B33" t="n">
        <v>2020</v>
      </c>
      <c r="C33">
        <f>Planilha1!E34</f>
        <v/>
      </c>
      <c r="D33">
        <f>Planilha1!M34</f>
        <v/>
      </c>
      <c r="E33">
        <f>Planilha1!L34</f>
        <v/>
      </c>
      <c r="F33">
        <f>Planilha1!K34</f>
        <v/>
      </c>
      <c r="G33">
        <f>Planilha1!P34</f>
        <v/>
      </c>
      <c r="H33">
        <f>Planilha1!O34</f>
        <v/>
      </c>
      <c r="I33">
        <f>Planilha1!N34</f>
        <v/>
      </c>
    </row>
    <row r="34">
      <c r="A34" t="inlineStr">
        <is>
          <t>PRIO3</t>
        </is>
      </c>
      <c r="B34" t="n">
        <v>2021</v>
      </c>
      <c r="C34">
        <f>Planilha1!E35</f>
        <v/>
      </c>
      <c r="D34">
        <f>Planilha1!M35</f>
        <v/>
      </c>
      <c r="E34">
        <f>Planilha1!L35</f>
        <v/>
      </c>
      <c r="F34">
        <f>Planilha1!K35</f>
        <v/>
      </c>
      <c r="G34">
        <f>Planilha1!P35</f>
        <v/>
      </c>
      <c r="H34">
        <f>Planilha1!O35</f>
        <v/>
      </c>
      <c r="I34">
        <f>Planilha1!N35</f>
        <v/>
      </c>
    </row>
    <row r="35">
      <c r="A35" t="inlineStr">
        <is>
          <t>PRIO3</t>
        </is>
      </c>
      <c r="B35" t="n">
        <v>2022</v>
      </c>
      <c r="C35">
        <f>Planilha1!E36</f>
        <v/>
      </c>
      <c r="D35">
        <f>Planilha1!M36</f>
        <v/>
      </c>
      <c r="E35">
        <f>Planilha1!L36</f>
        <v/>
      </c>
      <c r="F35">
        <f>Planilha1!K36</f>
        <v/>
      </c>
      <c r="G35">
        <f>Planilha1!P36</f>
        <v/>
      </c>
      <c r="H35">
        <f>Planilha1!O36</f>
        <v/>
      </c>
      <c r="I35">
        <f>Planilha1!N36</f>
        <v/>
      </c>
    </row>
    <row r="36">
      <c r="A36" t="inlineStr">
        <is>
          <t>PRIO3</t>
        </is>
      </c>
      <c r="B36" t="n">
        <v>2023</v>
      </c>
      <c r="C36">
        <f>Planilha1!E37</f>
        <v/>
      </c>
      <c r="D36">
        <f>Planilha1!M37</f>
        <v/>
      </c>
      <c r="E36">
        <f>Planilha1!L37</f>
        <v/>
      </c>
      <c r="F36">
        <f>Planilha1!K37</f>
        <v/>
      </c>
      <c r="G36">
        <f>Planilha1!P37</f>
        <v/>
      </c>
      <c r="H36">
        <f>Planilha1!O37</f>
        <v/>
      </c>
      <c r="I36">
        <f>Planilha1!N37</f>
        <v/>
      </c>
    </row>
    <row r="37">
      <c r="A37" t="inlineStr">
        <is>
          <t>RECV3</t>
        </is>
      </c>
      <c r="B37" t="n">
        <v>2019</v>
      </c>
      <c r="C37">
        <f>Planilha1!E38</f>
        <v/>
      </c>
      <c r="D37">
        <f>Planilha1!M38</f>
        <v/>
      </c>
      <c r="E37">
        <f>Planilha1!L38</f>
        <v/>
      </c>
      <c r="F37">
        <f>Planilha1!K38</f>
        <v/>
      </c>
      <c r="G37">
        <f>Planilha1!P38</f>
        <v/>
      </c>
      <c r="H37">
        <f>Planilha1!O38</f>
        <v/>
      </c>
      <c r="I37">
        <f>Planilha1!N38</f>
        <v/>
      </c>
    </row>
    <row r="38">
      <c r="A38" t="inlineStr">
        <is>
          <t>RECV3</t>
        </is>
      </c>
      <c r="B38" t="n">
        <v>2020</v>
      </c>
      <c r="C38">
        <f>Planilha1!E39</f>
        <v/>
      </c>
      <c r="D38">
        <f>Planilha1!M39</f>
        <v/>
      </c>
      <c r="E38">
        <f>Planilha1!L39</f>
        <v/>
      </c>
      <c r="F38">
        <f>Planilha1!K39</f>
        <v/>
      </c>
      <c r="G38">
        <f>Planilha1!P39</f>
        <v/>
      </c>
      <c r="H38">
        <f>Planilha1!O39</f>
        <v/>
      </c>
      <c r="I38">
        <f>Planilha1!N39</f>
        <v/>
      </c>
    </row>
    <row r="39">
      <c r="A39" t="inlineStr">
        <is>
          <t>RECV3</t>
        </is>
      </c>
      <c r="B39" t="n">
        <v>2021</v>
      </c>
      <c r="C39">
        <f>Planilha1!E40</f>
        <v/>
      </c>
      <c r="D39">
        <f>Planilha1!M40</f>
        <v/>
      </c>
      <c r="E39">
        <f>Planilha1!L40</f>
        <v/>
      </c>
      <c r="F39">
        <f>Planilha1!K40</f>
        <v/>
      </c>
      <c r="G39">
        <f>Planilha1!P40</f>
        <v/>
      </c>
      <c r="H39">
        <f>Planilha1!O40</f>
        <v/>
      </c>
      <c r="I39">
        <f>Planilha1!N40</f>
        <v/>
      </c>
    </row>
    <row r="40">
      <c r="A40" t="inlineStr">
        <is>
          <t>RECV3</t>
        </is>
      </c>
      <c r="B40" t="n">
        <v>2022</v>
      </c>
      <c r="C40">
        <f>Planilha1!E41</f>
        <v/>
      </c>
      <c r="D40">
        <f>Planilha1!M41</f>
        <v/>
      </c>
      <c r="E40">
        <f>Planilha1!L41</f>
        <v/>
      </c>
      <c r="F40">
        <f>Planilha1!K41</f>
        <v/>
      </c>
      <c r="G40">
        <f>Planilha1!P41</f>
        <v/>
      </c>
      <c r="H40">
        <f>Planilha1!O41</f>
        <v/>
      </c>
      <c r="I40">
        <f>Planilha1!N41</f>
        <v/>
      </c>
    </row>
    <row r="41">
      <c r="A41" t="inlineStr">
        <is>
          <t>RECV3</t>
        </is>
      </c>
      <c r="B41" t="n">
        <v>2023</v>
      </c>
      <c r="C41">
        <f>Planilha1!E42</f>
        <v/>
      </c>
      <c r="D41">
        <f>Planilha1!M42</f>
        <v/>
      </c>
      <c r="E41">
        <f>Planilha1!L42</f>
        <v/>
      </c>
      <c r="F41">
        <f>Planilha1!K42</f>
        <v/>
      </c>
      <c r="G41">
        <f>Planilha1!P42</f>
        <v/>
      </c>
      <c r="H41">
        <f>Planilha1!O42</f>
        <v/>
      </c>
      <c r="I41">
        <f>Planilha1!N42</f>
        <v/>
      </c>
    </row>
    <row r="42">
      <c r="A42" t="inlineStr">
        <is>
          <t>UGPA3</t>
        </is>
      </c>
      <c r="B42" t="n">
        <v>2019</v>
      </c>
      <c r="C42">
        <f>Planilha1!E43</f>
        <v/>
      </c>
      <c r="D42">
        <f>Planilha1!M43</f>
        <v/>
      </c>
      <c r="E42">
        <f>Planilha1!L43</f>
        <v/>
      </c>
      <c r="F42">
        <f>Planilha1!K43</f>
        <v/>
      </c>
      <c r="G42">
        <f>Planilha1!P43</f>
        <v/>
      </c>
      <c r="H42">
        <f>Planilha1!O43</f>
        <v/>
      </c>
      <c r="I42">
        <f>Planilha1!N43</f>
        <v/>
      </c>
    </row>
    <row r="43">
      <c r="A43" t="inlineStr">
        <is>
          <t>UGPA3</t>
        </is>
      </c>
      <c r="B43" t="n">
        <v>2020</v>
      </c>
      <c r="C43">
        <f>Planilha1!E44</f>
        <v/>
      </c>
      <c r="D43">
        <f>Planilha1!M44</f>
        <v/>
      </c>
      <c r="E43">
        <f>Planilha1!L44</f>
        <v/>
      </c>
      <c r="F43">
        <f>Planilha1!K44</f>
        <v/>
      </c>
      <c r="G43">
        <f>Planilha1!P44</f>
        <v/>
      </c>
      <c r="H43">
        <f>Planilha1!O44</f>
        <v/>
      </c>
      <c r="I43">
        <f>Planilha1!N44</f>
        <v/>
      </c>
    </row>
    <row r="44">
      <c r="A44" t="inlineStr">
        <is>
          <t>UGPA3</t>
        </is>
      </c>
      <c r="B44" t="n">
        <v>2021</v>
      </c>
      <c r="C44">
        <f>Planilha1!E45</f>
        <v/>
      </c>
      <c r="D44">
        <f>Planilha1!M45</f>
        <v/>
      </c>
      <c r="E44">
        <f>Planilha1!L45</f>
        <v/>
      </c>
      <c r="F44">
        <f>Planilha1!K45</f>
        <v/>
      </c>
      <c r="G44">
        <f>Planilha1!P45</f>
        <v/>
      </c>
      <c r="H44">
        <f>Planilha1!O45</f>
        <v/>
      </c>
      <c r="I44">
        <f>Planilha1!N45</f>
        <v/>
      </c>
    </row>
    <row r="45">
      <c r="A45" t="inlineStr">
        <is>
          <t>UGPA3</t>
        </is>
      </c>
      <c r="B45" t="n">
        <v>2022</v>
      </c>
      <c r="C45">
        <f>Planilha1!E46</f>
        <v/>
      </c>
      <c r="D45">
        <f>Planilha1!M46</f>
        <v/>
      </c>
      <c r="E45">
        <f>Planilha1!L46</f>
        <v/>
      </c>
      <c r="F45">
        <f>Planilha1!K46</f>
        <v/>
      </c>
      <c r="G45">
        <f>Planilha1!P46</f>
        <v/>
      </c>
      <c r="H45">
        <f>Planilha1!O46</f>
        <v/>
      </c>
      <c r="I45">
        <f>Planilha1!N46</f>
        <v/>
      </c>
    </row>
    <row r="46">
      <c r="A46" t="inlineStr">
        <is>
          <t>UGPA3</t>
        </is>
      </c>
      <c r="B46" t="n">
        <v>2023</v>
      </c>
      <c r="C46">
        <f>Planilha1!E47</f>
        <v/>
      </c>
      <c r="D46">
        <f>Planilha1!M47</f>
        <v/>
      </c>
      <c r="E46">
        <f>Planilha1!L47</f>
        <v/>
      </c>
      <c r="F46">
        <f>Planilha1!K47</f>
        <v/>
      </c>
      <c r="G46">
        <f>Planilha1!P47</f>
        <v/>
      </c>
      <c r="H46">
        <f>Planilha1!O47</f>
        <v/>
      </c>
      <c r="I46">
        <f>Planilha1!N47</f>
        <v/>
      </c>
    </row>
    <row r="47">
      <c r="A47" t="inlineStr">
        <is>
          <t>VBBR3</t>
        </is>
      </c>
      <c r="B47" t="n">
        <v>2019</v>
      </c>
      <c r="C47">
        <f>Planilha1!E48</f>
        <v/>
      </c>
      <c r="D47">
        <f>Planilha1!M48</f>
        <v/>
      </c>
      <c r="E47">
        <f>Planilha1!L48</f>
        <v/>
      </c>
      <c r="F47">
        <f>Planilha1!K48</f>
        <v/>
      </c>
      <c r="G47">
        <f>Planilha1!P48</f>
        <v/>
      </c>
      <c r="H47">
        <f>Planilha1!O48</f>
        <v/>
      </c>
      <c r="I47">
        <f>Planilha1!N48</f>
        <v/>
      </c>
    </row>
    <row r="48">
      <c r="A48" t="inlineStr">
        <is>
          <t>VBBR3</t>
        </is>
      </c>
      <c r="B48" t="n">
        <v>2020</v>
      </c>
      <c r="C48">
        <f>Planilha1!E49</f>
        <v/>
      </c>
      <c r="D48">
        <f>Planilha1!M49</f>
        <v/>
      </c>
      <c r="E48">
        <f>Planilha1!L49</f>
        <v/>
      </c>
      <c r="F48">
        <f>Planilha1!K49</f>
        <v/>
      </c>
      <c r="G48">
        <f>Planilha1!P49</f>
        <v/>
      </c>
      <c r="H48">
        <f>Planilha1!O49</f>
        <v/>
      </c>
      <c r="I48">
        <f>Planilha1!N49</f>
        <v/>
      </c>
    </row>
    <row r="49">
      <c r="A49" t="inlineStr">
        <is>
          <t>VBBR3</t>
        </is>
      </c>
      <c r="B49" t="n">
        <v>2021</v>
      </c>
      <c r="C49">
        <f>Planilha1!E50</f>
        <v/>
      </c>
      <c r="D49">
        <f>Planilha1!M50</f>
        <v/>
      </c>
      <c r="E49">
        <f>Planilha1!L50</f>
        <v/>
      </c>
      <c r="F49">
        <f>Planilha1!K50</f>
        <v/>
      </c>
      <c r="G49">
        <f>Planilha1!P50</f>
        <v/>
      </c>
      <c r="H49">
        <f>Planilha1!O50</f>
        <v/>
      </c>
      <c r="I49">
        <f>Planilha1!N50</f>
        <v/>
      </c>
    </row>
    <row r="50">
      <c r="A50" t="inlineStr">
        <is>
          <t>VBBR3</t>
        </is>
      </c>
      <c r="B50" t="n">
        <v>2022</v>
      </c>
      <c r="C50">
        <f>Planilha1!E51</f>
        <v/>
      </c>
      <c r="D50">
        <f>Planilha1!M51</f>
        <v/>
      </c>
      <c r="E50">
        <f>Planilha1!L51</f>
        <v/>
      </c>
      <c r="F50">
        <f>Planilha1!K51</f>
        <v/>
      </c>
      <c r="G50">
        <f>Planilha1!P51</f>
        <v/>
      </c>
      <c r="H50">
        <f>Planilha1!O51</f>
        <v/>
      </c>
      <c r="I50">
        <f>Planilha1!N51</f>
        <v/>
      </c>
    </row>
    <row r="51">
      <c r="A51" t="inlineStr">
        <is>
          <t>VBBR3</t>
        </is>
      </c>
      <c r="B51" t="n">
        <v>2023</v>
      </c>
      <c r="C51">
        <f>Planilha1!E52</f>
        <v/>
      </c>
      <c r="D51">
        <f>Planilha1!M52</f>
        <v/>
      </c>
      <c r="E51">
        <f>Planilha1!L52</f>
        <v/>
      </c>
      <c r="F51">
        <f>Planilha1!K52</f>
        <v/>
      </c>
      <c r="G51">
        <f>Planilha1!P52</f>
        <v/>
      </c>
      <c r="H51">
        <f>Planilha1!O52</f>
        <v/>
      </c>
      <c r="I51">
        <f>Planilha1!N52</f>
        <v/>
      </c>
    </row>
    <row r="52">
      <c r="A52" t="inlineStr">
        <is>
          <t>SUZB3</t>
        </is>
      </c>
      <c r="B52" t="n">
        <v>2019</v>
      </c>
      <c r="C52">
        <f>Planilha1!E53</f>
        <v/>
      </c>
      <c r="D52">
        <f>Planilha1!M53</f>
        <v/>
      </c>
      <c r="E52">
        <f>Planilha1!L53</f>
        <v/>
      </c>
      <c r="F52">
        <f>Planilha1!K53</f>
        <v/>
      </c>
      <c r="G52">
        <f>Planilha1!P53</f>
        <v/>
      </c>
      <c r="H52">
        <f>Planilha1!O53</f>
        <v/>
      </c>
      <c r="I52">
        <f>Planilha1!N53</f>
        <v/>
      </c>
    </row>
    <row r="53">
      <c r="A53" t="inlineStr">
        <is>
          <t>SUZB3</t>
        </is>
      </c>
      <c r="B53" t="n">
        <v>2020</v>
      </c>
      <c r="C53">
        <f>Planilha1!E54</f>
        <v/>
      </c>
      <c r="D53">
        <f>Planilha1!M54</f>
        <v/>
      </c>
      <c r="E53">
        <f>Planilha1!L54</f>
        <v/>
      </c>
      <c r="F53">
        <f>Planilha1!K54</f>
        <v/>
      </c>
      <c r="G53">
        <f>Planilha1!P54</f>
        <v/>
      </c>
      <c r="H53">
        <f>Planilha1!O54</f>
        <v/>
      </c>
      <c r="I53">
        <f>Planilha1!N54</f>
        <v/>
      </c>
    </row>
    <row r="54">
      <c r="A54" t="inlineStr">
        <is>
          <t>SUZB3</t>
        </is>
      </c>
      <c r="B54" t="n">
        <v>2021</v>
      </c>
      <c r="C54">
        <f>Planilha1!E55</f>
        <v/>
      </c>
      <c r="D54">
        <f>Planilha1!M55</f>
        <v/>
      </c>
      <c r="E54">
        <f>Planilha1!L55</f>
        <v/>
      </c>
      <c r="F54">
        <f>Planilha1!K55</f>
        <v/>
      </c>
      <c r="G54">
        <f>Planilha1!P55</f>
        <v/>
      </c>
      <c r="H54">
        <f>Planilha1!O55</f>
        <v/>
      </c>
      <c r="I54">
        <f>Planilha1!N55</f>
        <v/>
      </c>
    </row>
    <row r="55">
      <c r="A55" t="inlineStr">
        <is>
          <t>SUZB3</t>
        </is>
      </c>
      <c r="B55" t="n">
        <v>2022</v>
      </c>
      <c r="C55">
        <f>Planilha1!E56</f>
        <v/>
      </c>
      <c r="D55">
        <f>Planilha1!M56</f>
        <v/>
      </c>
      <c r="E55">
        <f>Planilha1!L56</f>
        <v/>
      </c>
      <c r="F55">
        <f>Planilha1!K56</f>
        <v/>
      </c>
      <c r="G55">
        <f>Planilha1!P56</f>
        <v/>
      </c>
      <c r="H55">
        <f>Planilha1!O56</f>
        <v/>
      </c>
      <c r="I55">
        <f>Planilha1!N56</f>
        <v/>
      </c>
    </row>
    <row r="56">
      <c r="A56" t="inlineStr">
        <is>
          <t>SUZB3</t>
        </is>
      </c>
      <c r="B56" t="n">
        <v>2023</v>
      </c>
      <c r="C56">
        <f>Planilha1!E57</f>
        <v/>
      </c>
      <c r="D56">
        <f>Planilha1!M57</f>
        <v/>
      </c>
      <c r="E56">
        <f>Planilha1!L57</f>
        <v/>
      </c>
      <c r="F56">
        <f>Planilha1!K57</f>
        <v/>
      </c>
      <c r="G56">
        <f>Planilha1!P57</f>
        <v/>
      </c>
      <c r="H56">
        <f>Planilha1!O57</f>
        <v/>
      </c>
      <c r="I56">
        <f>Planilha1!N57</f>
        <v/>
      </c>
    </row>
    <row r="57">
      <c r="A57" t="inlineStr">
        <is>
          <t>KLBN11</t>
        </is>
      </c>
      <c r="B57" t="n">
        <v>2019</v>
      </c>
      <c r="C57">
        <f>Planilha1!E58</f>
        <v/>
      </c>
      <c r="D57">
        <f>Planilha1!M58</f>
        <v/>
      </c>
      <c r="E57">
        <f>Planilha1!L58</f>
        <v/>
      </c>
      <c r="F57">
        <f>Planilha1!K58</f>
        <v/>
      </c>
      <c r="G57">
        <f>Planilha1!P58</f>
        <v/>
      </c>
      <c r="H57">
        <f>Planilha1!O58</f>
        <v/>
      </c>
      <c r="I57">
        <f>Planilha1!N58</f>
        <v/>
      </c>
    </row>
    <row r="58">
      <c r="A58" t="inlineStr">
        <is>
          <t>KLBN11</t>
        </is>
      </c>
      <c r="B58" t="n">
        <v>2020</v>
      </c>
      <c r="C58">
        <f>Planilha1!E59</f>
        <v/>
      </c>
      <c r="D58">
        <f>Planilha1!M59</f>
        <v/>
      </c>
      <c r="E58">
        <f>Planilha1!L59</f>
        <v/>
      </c>
      <c r="F58">
        <f>Planilha1!K59</f>
        <v/>
      </c>
      <c r="G58">
        <f>Planilha1!P59</f>
        <v/>
      </c>
      <c r="H58">
        <f>Planilha1!O59</f>
        <v/>
      </c>
      <c r="I58">
        <f>Planilha1!N59</f>
        <v/>
      </c>
    </row>
    <row r="59">
      <c r="A59" t="inlineStr">
        <is>
          <t>KLBN11</t>
        </is>
      </c>
      <c r="B59" t="n">
        <v>2021</v>
      </c>
      <c r="C59">
        <f>Planilha1!E60</f>
        <v/>
      </c>
      <c r="D59">
        <f>Planilha1!M60</f>
        <v/>
      </c>
      <c r="E59">
        <f>Planilha1!L60</f>
        <v/>
      </c>
      <c r="F59">
        <f>Planilha1!K60</f>
        <v/>
      </c>
      <c r="G59">
        <f>Planilha1!P60</f>
        <v/>
      </c>
      <c r="H59">
        <f>Planilha1!O60</f>
        <v/>
      </c>
      <c r="I59">
        <f>Planilha1!N60</f>
        <v/>
      </c>
    </row>
    <row r="60">
      <c r="A60" t="inlineStr">
        <is>
          <t>KLBN11</t>
        </is>
      </c>
      <c r="B60" t="n">
        <v>2022</v>
      </c>
      <c r="C60">
        <f>Planilha1!E61</f>
        <v/>
      </c>
      <c r="D60">
        <f>Planilha1!M61</f>
        <v/>
      </c>
      <c r="E60">
        <f>Planilha1!L61</f>
        <v/>
      </c>
      <c r="F60">
        <f>Planilha1!K61</f>
        <v/>
      </c>
      <c r="G60">
        <f>Planilha1!P61</f>
        <v/>
      </c>
      <c r="H60">
        <f>Planilha1!O61</f>
        <v/>
      </c>
      <c r="I60">
        <f>Planilha1!N61</f>
        <v/>
      </c>
    </row>
    <row r="61">
      <c r="A61" t="inlineStr">
        <is>
          <t>KLBN11</t>
        </is>
      </c>
      <c r="B61" t="n">
        <v>2023</v>
      </c>
      <c r="C61">
        <f>Planilha1!E62</f>
        <v/>
      </c>
      <c r="D61">
        <f>Planilha1!M62</f>
        <v/>
      </c>
      <c r="E61">
        <f>Planilha1!L62</f>
        <v/>
      </c>
      <c r="F61">
        <f>Planilha1!K62</f>
        <v/>
      </c>
      <c r="G61">
        <f>Planilha1!P62</f>
        <v/>
      </c>
      <c r="H61">
        <f>Planilha1!O62</f>
        <v/>
      </c>
      <c r="I61">
        <f>Planilha1!N62</f>
        <v/>
      </c>
    </row>
    <row r="62">
      <c r="A62" t="inlineStr">
        <is>
          <t>JBSS3</t>
        </is>
      </c>
      <c r="B62" t="n">
        <v>2019</v>
      </c>
      <c r="C62">
        <f>Planilha1!E63</f>
        <v/>
      </c>
      <c r="D62">
        <f>Planilha1!M63</f>
        <v/>
      </c>
      <c r="E62">
        <f>Planilha1!L63</f>
        <v/>
      </c>
      <c r="F62">
        <f>Planilha1!K63</f>
        <v/>
      </c>
      <c r="G62">
        <f>Planilha1!P63</f>
        <v/>
      </c>
      <c r="H62">
        <f>Planilha1!O63</f>
        <v/>
      </c>
      <c r="I62">
        <f>Planilha1!N63</f>
        <v/>
      </c>
    </row>
    <row r="63">
      <c r="A63" t="inlineStr">
        <is>
          <t>JBSS3</t>
        </is>
      </c>
      <c r="B63" t="n">
        <v>2020</v>
      </c>
      <c r="C63">
        <f>Planilha1!E64</f>
        <v/>
      </c>
      <c r="D63">
        <f>Planilha1!M64</f>
        <v/>
      </c>
      <c r="E63">
        <f>Planilha1!L64</f>
        <v/>
      </c>
      <c r="F63">
        <f>Planilha1!K64</f>
        <v/>
      </c>
      <c r="G63">
        <f>Planilha1!P64</f>
        <v/>
      </c>
      <c r="H63">
        <f>Planilha1!O64</f>
        <v/>
      </c>
      <c r="I63">
        <f>Planilha1!N64</f>
        <v/>
      </c>
    </row>
    <row r="64">
      <c r="A64" t="inlineStr">
        <is>
          <t>JBSS3</t>
        </is>
      </c>
      <c r="B64" t="n">
        <v>2021</v>
      </c>
      <c r="C64">
        <f>Planilha1!E65</f>
        <v/>
      </c>
      <c r="D64">
        <f>Planilha1!M65</f>
        <v/>
      </c>
      <c r="E64">
        <f>Planilha1!L65</f>
        <v/>
      </c>
      <c r="F64">
        <f>Planilha1!K65</f>
        <v/>
      </c>
      <c r="G64">
        <f>Planilha1!P65</f>
        <v/>
      </c>
      <c r="H64">
        <f>Planilha1!O65</f>
        <v/>
      </c>
      <c r="I64">
        <f>Planilha1!N65</f>
        <v/>
      </c>
    </row>
    <row r="65">
      <c r="A65" t="inlineStr">
        <is>
          <t>JBSS3</t>
        </is>
      </c>
      <c r="B65" t="n">
        <v>2022</v>
      </c>
      <c r="C65">
        <f>Planilha1!E66</f>
        <v/>
      </c>
      <c r="D65">
        <f>Planilha1!M66</f>
        <v/>
      </c>
      <c r="E65">
        <f>Planilha1!L66</f>
        <v/>
      </c>
      <c r="F65">
        <f>Planilha1!K66</f>
        <v/>
      </c>
      <c r="G65">
        <f>Planilha1!P66</f>
        <v/>
      </c>
      <c r="H65">
        <f>Planilha1!O66</f>
        <v/>
      </c>
      <c r="I65">
        <f>Planilha1!N66</f>
        <v/>
      </c>
    </row>
    <row r="66">
      <c r="A66" t="inlineStr">
        <is>
          <t>JBSS3</t>
        </is>
      </c>
      <c r="B66" t="n">
        <v>2023</v>
      </c>
      <c r="C66">
        <f>Planilha1!E67</f>
        <v/>
      </c>
      <c r="D66">
        <f>Planilha1!M67</f>
        <v/>
      </c>
      <c r="E66">
        <f>Planilha1!L67</f>
        <v/>
      </c>
      <c r="F66">
        <f>Planilha1!K67</f>
        <v/>
      </c>
      <c r="G66">
        <f>Planilha1!P67</f>
        <v/>
      </c>
      <c r="H66">
        <f>Planilha1!O67</f>
        <v/>
      </c>
      <c r="I66">
        <f>Planilha1!N67</f>
        <v/>
      </c>
    </row>
    <row r="67">
      <c r="A67" t="inlineStr">
        <is>
          <t>BRFS3</t>
        </is>
      </c>
      <c r="B67" t="n">
        <v>2019</v>
      </c>
      <c r="C67">
        <f>Planilha1!E68</f>
        <v/>
      </c>
      <c r="D67">
        <f>Planilha1!M68</f>
        <v/>
      </c>
      <c r="E67">
        <f>Planilha1!L68</f>
        <v/>
      </c>
      <c r="F67">
        <f>Planilha1!K68</f>
        <v/>
      </c>
      <c r="G67">
        <f>Planilha1!P68</f>
        <v/>
      </c>
      <c r="H67">
        <f>Planilha1!O68</f>
        <v/>
      </c>
      <c r="I67">
        <f>Planilha1!N68</f>
        <v/>
      </c>
    </row>
    <row r="68">
      <c r="A68" t="inlineStr">
        <is>
          <t>BRFS3</t>
        </is>
      </c>
      <c r="B68" t="n">
        <v>2020</v>
      </c>
      <c r="C68">
        <f>Planilha1!E69</f>
        <v/>
      </c>
      <c r="D68">
        <f>Planilha1!M69</f>
        <v/>
      </c>
      <c r="E68">
        <f>Planilha1!L69</f>
        <v/>
      </c>
      <c r="F68">
        <f>Planilha1!K69</f>
        <v/>
      </c>
      <c r="G68">
        <f>Planilha1!P69</f>
        <v/>
      </c>
      <c r="H68">
        <f>Planilha1!O69</f>
        <v/>
      </c>
      <c r="I68">
        <f>Planilha1!N69</f>
        <v/>
      </c>
    </row>
    <row r="69">
      <c r="A69" t="inlineStr">
        <is>
          <t>BRFS3</t>
        </is>
      </c>
      <c r="B69" t="n">
        <v>2021</v>
      </c>
      <c r="C69">
        <f>Planilha1!E70</f>
        <v/>
      </c>
      <c r="D69">
        <f>Planilha1!M70</f>
        <v/>
      </c>
      <c r="E69">
        <f>Planilha1!L70</f>
        <v/>
      </c>
      <c r="F69">
        <f>Planilha1!K70</f>
        <v/>
      </c>
      <c r="G69">
        <f>Planilha1!P70</f>
        <v/>
      </c>
      <c r="H69">
        <f>Planilha1!O70</f>
        <v/>
      </c>
      <c r="I69">
        <f>Planilha1!N70</f>
        <v/>
      </c>
    </row>
    <row r="70">
      <c r="A70" t="inlineStr">
        <is>
          <t>BRFS3</t>
        </is>
      </c>
      <c r="B70" t="n">
        <v>2022</v>
      </c>
      <c r="C70">
        <f>Planilha1!E71</f>
        <v/>
      </c>
      <c r="D70">
        <f>Planilha1!M71</f>
        <v/>
      </c>
      <c r="E70">
        <f>Planilha1!L71</f>
        <v/>
      </c>
      <c r="F70">
        <f>Planilha1!K71</f>
        <v/>
      </c>
      <c r="G70">
        <f>Planilha1!P71</f>
        <v/>
      </c>
      <c r="H70">
        <f>Planilha1!O71</f>
        <v/>
      </c>
      <c r="I70">
        <f>Planilha1!N71</f>
        <v/>
      </c>
    </row>
    <row r="71">
      <c r="A71" t="inlineStr">
        <is>
          <t>BRFS3</t>
        </is>
      </c>
      <c r="B71" t="n">
        <v>2023</v>
      </c>
      <c r="C71">
        <f>Planilha1!E72</f>
        <v/>
      </c>
      <c r="D71">
        <f>Planilha1!M72</f>
        <v/>
      </c>
      <c r="E71">
        <f>Planilha1!L72</f>
        <v/>
      </c>
      <c r="F71">
        <f>Planilha1!K72</f>
        <v/>
      </c>
      <c r="G71">
        <f>Planilha1!P72</f>
        <v/>
      </c>
      <c r="H71">
        <f>Planilha1!O72</f>
        <v/>
      </c>
      <c r="I71">
        <f>Planilha1!N72</f>
        <v/>
      </c>
    </row>
    <row r="72">
      <c r="A72" t="inlineStr">
        <is>
          <t>MRFG3</t>
        </is>
      </c>
      <c r="B72" t="n">
        <v>2019</v>
      </c>
      <c r="C72">
        <f>Planilha1!E73</f>
        <v/>
      </c>
      <c r="D72">
        <f>Planilha1!M73</f>
        <v/>
      </c>
      <c r="E72">
        <f>Planilha1!L73</f>
        <v/>
      </c>
      <c r="F72">
        <f>Planilha1!K73</f>
        <v/>
      </c>
      <c r="G72">
        <f>Planilha1!P73</f>
        <v/>
      </c>
      <c r="H72">
        <f>Planilha1!O73</f>
        <v/>
      </c>
      <c r="I72">
        <f>Planilha1!N73</f>
        <v/>
      </c>
    </row>
    <row r="73">
      <c r="A73" t="inlineStr">
        <is>
          <t>MRFG3</t>
        </is>
      </c>
      <c r="B73" t="n">
        <v>2020</v>
      </c>
      <c r="C73">
        <f>Planilha1!E74</f>
        <v/>
      </c>
      <c r="D73">
        <f>Planilha1!M74</f>
        <v/>
      </c>
      <c r="E73">
        <f>Planilha1!L74</f>
        <v/>
      </c>
      <c r="F73">
        <f>Planilha1!K74</f>
        <v/>
      </c>
      <c r="G73">
        <f>Planilha1!P74</f>
        <v/>
      </c>
      <c r="H73">
        <f>Planilha1!O74</f>
        <v/>
      </c>
      <c r="I73">
        <f>Planilha1!N74</f>
        <v/>
      </c>
    </row>
    <row r="74">
      <c r="A74" t="inlineStr">
        <is>
          <t>MRFG3</t>
        </is>
      </c>
      <c r="B74" t="n">
        <v>2021</v>
      </c>
      <c r="C74">
        <f>Planilha1!E75</f>
        <v/>
      </c>
      <c r="D74">
        <f>Planilha1!M75</f>
        <v/>
      </c>
      <c r="E74">
        <f>Planilha1!L75</f>
        <v/>
      </c>
      <c r="F74">
        <f>Planilha1!K75</f>
        <v/>
      </c>
      <c r="G74">
        <f>Planilha1!P75</f>
        <v/>
      </c>
      <c r="H74">
        <f>Planilha1!O75</f>
        <v/>
      </c>
      <c r="I74">
        <f>Planilha1!N75</f>
        <v/>
      </c>
    </row>
    <row r="75">
      <c r="A75" t="inlineStr">
        <is>
          <t>MRFG3</t>
        </is>
      </c>
      <c r="B75" t="n">
        <v>2022</v>
      </c>
      <c r="C75">
        <f>Planilha1!E76</f>
        <v/>
      </c>
      <c r="D75">
        <f>Planilha1!M76</f>
        <v/>
      </c>
      <c r="E75">
        <f>Planilha1!L76</f>
        <v/>
      </c>
      <c r="F75">
        <f>Planilha1!K76</f>
        <v/>
      </c>
      <c r="G75">
        <f>Planilha1!P76</f>
        <v/>
      </c>
      <c r="H75">
        <f>Planilha1!O76</f>
        <v/>
      </c>
      <c r="I75">
        <f>Planilha1!N76</f>
        <v/>
      </c>
    </row>
    <row r="76">
      <c r="A76" t="inlineStr">
        <is>
          <t>MRFG3</t>
        </is>
      </c>
      <c r="B76" t="n">
        <v>2023</v>
      </c>
      <c r="C76">
        <f>Planilha1!E77</f>
        <v/>
      </c>
      <c r="D76">
        <f>Planilha1!M77</f>
        <v/>
      </c>
      <c r="E76">
        <f>Planilha1!L77</f>
        <v/>
      </c>
      <c r="F76">
        <f>Planilha1!K77</f>
        <v/>
      </c>
      <c r="G76">
        <f>Planilha1!P77</f>
        <v/>
      </c>
      <c r="H76">
        <f>Planilha1!O77</f>
        <v/>
      </c>
      <c r="I76">
        <f>Planilha1!N77</f>
        <v/>
      </c>
    </row>
    <row r="77">
      <c r="A77" t="inlineStr">
        <is>
          <t>ELET3</t>
        </is>
      </c>
      <c r="B77" t="n">
        <v>2019</v>
      </c>
      <c r="C77">
        <f>Planilha1!E78</f>
        <v/>
      </c>
      <c r="D77">
        <f>Planilha1!M78</f>
        <v/>
      </c>
      <c r="E77">
        <f>Planilha1!L78</f>
        <v/>
      </c>
      <c r="F77">
        <f>Planilha1!K78</f>
        <v/>
      </c>
      <c r="G77">
        <f>Planilha1!P78</f>
        <v/>
      </c>
      <c r="H77">
        <f>Planilha1!O78</f>
        <v/>
      </c>
      <c r="I77">
        <f>Planilha1!N78</f>
        <v/>
      </c>
    </row>
    <row r="78">
      <c r="A78" t="inlineStr">
        <is>
          <t>ELET3</t>
        </is>
      </c>
      <c r="B78" t="n">
        <v>2020</v>
      </c>
      <c r="C78">
        <f>Planilha1!E79</f>
        <v/>
      </c>
      <c r="D78">
        <f>Planilha1!M79</f>
        <v/>
      </c>
      <c r="E78">
        <f>Planilha1!L79</f>
        <v/>
      </c>
      <c r="F78">
        <f>Planilha1!K79</f>
        <v/>
      </c>
      <c r="G78">
        <f>Planilha1!P79</f>
        <v/>
      </c>
      <c r="H78">
        <f>Planilha1!O79</f>
        <v/>
      </c>
      <c r="I78">
        <f>Planilha1!N79</f>
        <v/>
      </c>
    </row>
    <row r="79">
      <c r="A79" t="inlineStr">
        <is>
          <t>ELET3</t>
        </is>
      </c>
      <c r="B79" t="n">
        <v>2021</v>
      </c>
      <c r="C79">
        <f>Planilha1!E80</f>
        <v/>
      </c>
      <c r="D79">
        <f>Planilha1!M80</f>
        <v/>
      </c>
      <c r="E79">
        <f>Planilha1!L80</f>
        <v/>
      </c>
      <c r="F79">
        <f>Planilha1!K80</f>
        <v/>
      </c>
      <c r="G79">
        <f>Planilha1!P80</f>
        <v/>
      </c>
      <c r="H79">
        <f>Planilha1!O80</f>
        <v/>
      </c>
      <c r="I79">
        <f>Planilha1!N80</f>
        <v/>
      </c>
    </row>
    <row r="80">
      <c r="A80" t="inlineStr">
        <is>
          <t>ELET3</t>
        </is>
      </c>
      <c r="B80" t="n">
        <v>2022</v>
      </c>
      <c r="C80">
        <f>Planilha1!E81</f>
        <v/>
      </c>
      <c r="D80">
        <f>Planilha1!M81</f>
        <v/>
      </c>
      <c r="E80">
        <f>Planilha1!L81</f>
        <v/>
      </c>
      <c r="F80">
        <f>Planilha1!K81</f>
        <v/>
      </c>
      <c r="G80">
        <f>Planilha1!P81</f>
        <v/>
      </c>
      <c r="H80">
        <f>Planilha1!O81</f>
        <v/>
      </c>
      <c r="I80">
        <f>Planilha1!N81</f>
        <v/>
      </c>
    </row>
    <row r="81">
      <c r="A81" t="inlineStr">
        <is>
          <t>ELET3</t>
        </is>
      </c>
      <c r="B81" t="n">
        <v>2023</v>
      </c>
      <c r="C81">
        <f>Planilha1!E82</f>
        <v/>
      </c>
      <c r="D81">
        <f>Planilha1!M82</f>
        <v/>
      </c>
      <c r="E81">
        <f>Planilha1!L82</f>
        <v/>
      </c>
      <c r="F81">
        <f>Planilha1!K82</f>
        <v/>
      </c>
      <c r="G81">
        <f>Planilha1!P82</f>
        <v/>
      </c>
      <c r="H81">
        <f>Planilha1!O82</f>
        <v/>
      </c>
      <c r="I81">
        <f>Planilha1!N82</f>
        <v/>
      </c>
    </row>
    <row r="82">
      <c r="A82" t="inlineStr">
        <is>
          <t>CMIG4</t>
        </is>
      </c>
      <c r="B82" t="n">
        <v>2019</v>
      </c>
      <c r="C82">
        <f>Planilha1!E83</f>
        <v/>
      </c>
      <c r="D82">
        <f>Planilha1!M83</f>
        <v/>
      </c>
      <c r="E82">
        <f>Planilha1!L83</f>
        <v/>
      </c>
      <c r="F82">
        <f>Planilha1!K83</f>
        <v/>
      </c>
      <c r="G82">
        <f>Planilha1!P83</f>
        <v/>
      </c>
      <c r="H82">
        <f>Planilha1!O83</f>
        <v/>
      </c>
      <c r="I82">
        <f>Planilha1!N83</f>
        <v/>
      </c>
    </row>
    <row r="83">
      <c r="A83" t="inlineStr">
        <is>
          <t>CMIG4</t>
        </is>
      </c>
      <c r="B83" t="n">
        <v>2020</v>
      </c>
      <c r="C83">
        <f>Planilha1!E84</f>
        <v/>
      </c>
      <c r="D83">
        <f>Planilha1!M84</f>
        <v/>
      </c>
      <c r="E83">
        <f>Planilha1!L84</f>
        <v/>
      </c>
      <c r="F83">
        <f>Planilha1!K84</f>
        <v/>
      </c>
      <c r="G83">
        <f>Planilha1!P84</f>
        <v/>
      </c>
      <c r="H83">
        <f>Planilha1!O84</f>
        <v/>
      </c>
      <c r="I83">
        <f>Planilha1!N84</f>
        <v/>
      </c>
    </row>
    <row r="84">
      <c r="A84" t="inlineStr">
        <is>
          <t>CMIG4</t>
        </is>
      </c>
      <c r="B84" t="n">
        <v>2021</v>
      </c>
      <c r="C84">
        <f>Planilha1!E85</f>
        <v/>
      </c>
      <c r="D84">
        <f>Planilha1!M85</f>
        <v/>
      </c>
      <c r="E84">
        <f>Planilha1!L85</f>
        <v/>
      </c>
      <c r="F84">
        <f>Planilha1!K85</f>
        <v/>
      </c>
      <c r="G84">
        <f>Planilha1!P85</f>
        <v/>
      </c>
      <c r="H84">
        <f>Planilha1!O85</f>
        <v/>
      </c>
      <c r="I84">
        <f>Planilha1!N85</f>
        <v/>
      </c>
    </row>
    <row r="85">
      <c r="A85" t="inlineStr">
        <is>
          <t>CMIG4</t>
        </is>
      </c>
      <c r="B85" t="n">
        <v>2022</v>
      </c>
      <c r="C85">
        <f>Planilha1!E86</f>
        <v/>
      </c>
      <c r="D85">
        <f>Planilha1!M86</f>
        <v/>
      </c>
      <c r="E85">
        <f>Planilha1!L86</f>
        <v/>
      </c>
      <c r="F85">
        <f>Planilha1!K86</f>
        <v/>
      </c>
      <c r="G85">
        <f>Planilha1!P86</f>
        <v/>
      </c>
      <c r="H85">
        <f>Planilha1!O86</f>
        <v/>
      </c>
      <c r="I85">
        <f>Planilha1!N86</f>
        <v/>
      </c>
    </row>
    <row r="86">
      <c r="A86" t="inlineStr">
        <is>
          <t>CMIG4</t>
        </is>
      </c>
      <c r="B86" t="n">
        <v>2023</v>
      </c>
      <c r="C86">
        <f>Planilha1!E87</f>
        <v/>
      </c>
      <c r="D86">
        <f>Planilha1!M87</f>
        <v/>
      </c>
      <c r="E86">
        <f>Planilha1!L87</f>
        <v/>
      </c>
      <c r="F86">
        <f>Planilha1!K87</f>
        <v/>
      </c>
      <c r="G86">
        <f>Planilha1!P87</f>
        <v/>
      </c>
      <c r="H86">
        <f>Planilha1!O87</f>
        <v/>
      </c>
      <c r="I86">
        <f>Planilha1!N87</f>
        <v/>
      </c>
    </row>
    <row r="87">
      <c r="A87" t="inlineStr">
        <is>
          <t>CPLE6</t>
        </is>
      </c>
      <c r="B87" t="n">
        <v>2019</v>
      </c>
      <c r="C87">
        <f>Planilha1!E88</f>
        <v/>
      </c>
      <c r="D87">
        <f>Planilha1!M88</f>
        <v/>
      </c>
      <c r="E87">
        <f>Planilha1!L88</f>
        <v/>
      </c>
      <c r="F87">
        <f>Planilha1!K88</f>
        <v/>
      </c>
      <c r="G87">
        <f>Planilha1!P88</f>
        <v/>
      </c>
      <c r="H87">
        <f>Planilha1!O88</f>
        <v/>
      </c>
      <c r="I87">
        <f>Planilha1!N88</f>
        <v/>
      </c>
    </row>
    <row r="88">
      <c r="A88" t="inlineStr">
        <is>
          <t>CPLE6</t>
        </is>
      </c>
      <c r="B88" t="n">
        <v>2020</v>
      </c>
      <c r="C88">
        <f>Planilha1!E89</f>
        <v/>
      </c>
      <c r="D88">
        <f>Planilha1!M89</f>
        <v/>
      </c>
      <c r="E88">
        <f>Planilha1!L89</f>
        <v/>
      </c>
      <c r="F88">
        <f>Planilha1!K89</f>
        <v/>
      </c>
      <c r="G88">
        <f>Planilha1!P89</f>
        <v/>
      </c>
      <c r="H88">
        <f>Planilha1!O89</f>
        <v/>
      </c>
      <c r="I88">
        <f>Planilha1!N89</f>
        <v/>
      </c>
    </row>
    <row r="89">
      <c r="A89" t="inlineStr">
        <is>
          <t>CPLE6</t>
        </is>
      </c>
      <c r="B89" t="n">
        <v>2021</v>
      </c>
      <c r="C89">
        <f>Planilha1!E90</f>
        <v/>
      </c>
      <c r="D89">
        <f>Planilha1!M90</f>
        <v/>
      </c>
      <c r="E89">
        <f>Planilha1!L90</f>
        <v/>
      </c>
      <c r="F89">
        <f>Planilha1!K90</f>
        <v/>
      </c>
      <c r="G89">
        <f>Planilha1!P90</f>
        <v/>
      </c>
      <c r="H89">
        <f>Planilha1!O90</f>
        <v/>
      </c>
      <c r="I89">
        <f>Planilha1!N90</f>
        <v/>
      </c>
    </row>
    <row r="90">
      <c r="A90" t="inlineStr">
        <is>
          <t>CPLE6</t>
        </is>
      </c>
      <c r="B90" t="n">
        <v>2022</v>
      </c>
      <c r="C90">
        <f>Planilha1!E91</f>
        <v/>
      </c>
      <c r="D90">
        <f>Planilha1!M91</f>
        <v/>
      </c>
      <c r="E90">
        <f>Planilha1!L91</f>
        <v/>
      </c>
      <c r="F90">
        <f>Planilha1!K91</f>
        <v/>
      </c>
      <c r="G90">
        <f>Planilha1!P91</f>
        <v/>
      </c>
      <c r="H90">
        <f>Planilha1!O91</f>
        <v/>
      </c>
      <c r="I90">
        <f>Planilha1!N91</f>
        <v/>
      </c>
    </row>
    <row r="91">
      <c r="A91" t="inlineStr">
        <is>
          <t>CPLE6</t>
        </is>
      </c>
      <c r="B91" t="n">
        <v>2023</v>
      </c>
      <c r="C91">
        <f>Planilha1!E92</f>
        <v/>
      </c>
      <c r="D91">
        <f>Planilha1!M92</f>
        <v/>
      </c>
      <c r="E91">
        <f>Planilha1!L92</f>
        <v/>
      </c>
      <c r="F91">
        <f>Planilha1!K92</f>
        <v/>
      </c>
      <c r="G91">
        <f>Planilha1!P92</f>
        <v/>
      </c>
      <c r="H91">
        <f>Planilha1!O92</f>
        <v/>
      </c>
      <c r="I91">
        <f>Planilha1!N92</f>
        <v/>
      </c>
    </row>
    <row r="92">
      <c r="A92" t="inlineStr">
        <is>
          <t>EGIE3</t>
        </is>
      </c>
      <c r="B92" t="n">
        <v>2019</v>
      </c>
      <c r="C92">
        <f>Planilha1!E93</f>
        <v/>
      </c>
      <c r="D92">
        <f>Planilha1!M93</f>
        <v/>
      </c>
      <c r="E92">
        <f>Planilha1!L93</f>
        <v/>
      </c>
      <c r="F92">
        <f>Planilha1!K93</f>
        <v/>
      </c>
      <c r="G92">
        <f>Planilha1!P93</f>
        <v/>
      </c>
      <c r="H92">
        <f>Planilha1!O93</f>
        <v/>
      </c>
      <c r="I92">
        <f>Planilha1!N93</f>
        <v/>
      </c>
    </row>
    <row r="93">
      <c r="A93" t="inlineStr">
        <is>
          <t>EGIE3</t>
        </is>
      </c>
      <c r="B93" t="n">
        <v>2020</v>
      </c>
      <c r="C93">
        <f>Planilha1!E94</f>
        <v/>
      </c>
      <c r="D93">
        <f>Planilha1!M94</f>
        <v/>
      </c>
      <c r="E93">
        <f>Planilha1!L94</f>
        <v/>
      </c>
      <c r="F93">
        <f>Planilha1!K94</f>
        <v/>
      </c>
      <c r="G93">
        <f>Planilha1!P94</f>
        <v/>
      </c>
      <c r="H93">
        <f>Planilha1!O94</f>
        <v/>
      </c>
      <c r="I93">
        <f>Planilha1!N94</f>
        <v/>
      </c>
    </row>
    <row r="94">
      <c r="A94" t="inlineStr">
        <is>
          <t>EGIE3</t>
        </is>
      </c>
      <c r="B94" t="n">
        <v>2021</v>
      </c>
      <c r="C94">
        <f>Planilha1!E95</f>
        <v/>
      </c>
      <c r="D94">
        <f>Planilha1!M95</f>
        <v/>
      </c>
      <c r="E94">
        <f>Planilha1!L95</f>
        <v/>
      </c>
      <c r="F94">
        <f>Planilha1!K95</f>
        <v/>
      </c>
      <c r="G94">
        <f>Planilha1!P95</f>
        <v/>
      </c>
      <c r="H94">
        <f>Planilha1!O95</f>
        <v/>
      </c>
      <c r="I94">
        <f>Planilha1!N95</f>
        <v/>
      </c>
    </row>
    <row r="95">
      <c r="A95" t="inlineStr">
        <is>
          <t>EGIE3</t>
        </is>
      </c>
      <c r="B95" t="n">
        <v>2022</v>
      </c>
      <c r="C95">
        <f>Planilha1!E96</f>
        <v/>
      </c>
      <c r="D95">
        <f>Planilha1!M96</f>
        <v/>
      </c>
      <c r="E95">
        <f>Planilha1!L96</f>
        <v/>
      </c>
      <c r="F95">
        <f>Planilha1!K96</f>
        <v/>
      </c>
      <c r="G95">
        <f>Planilha1!P96</f>
        <v/>
      </c>
      <c r="H95">
        <f>Planilha1!O96</f>
        <v/>
      </c>
      <c r="I95">
        <f>Planilha1!N96</f>
        <v/>
      </c>
    </row>
    <row r="96">
      <c r="A96" t="inlineStr">
        <is>
          <t>EGIE3</t>
        </is>
      </c>
      <c r="B96" t="n">
        <v>2023</v>
      </c>
      <c r="C96">
        <f>Planilha1!E97</f>
        <v/>
      </c>
      <c r="D96">
        <f>Planilha1!M97</f>
        <v/>
      </c>
      <c r="E96">
        <f>Planilha1!L97</f>
        <v/>
      </c>
      <c r="F96">
        <f>Planilha1!K97</f>
        <v/>
      </c>
      <c r="G96">
        <f>Planilha1!P97</f>
        <v/>
      </c>
      <c r="H96">
        <f>Planilha1!O97</f>
        <v/>
      </c>
      <c r="I96">
        <f>Planilha1!N97</f>
        <v/>
      </c>
    </row>
    <row r="97">
      <c r="A97" t="inlineStr">
        <is>
          <t>TRPL4</t>
        </is>
      </c>
      <c r="B97" t="n">
        <v>2019</v>
      </c>
      <c r="C97">
        <f>Planilha1!E98</f>
        <v/>
      </c>
      <c r="D97">
        <f>Planilha1!M98</f>
        <v/>
      </c>
      <c r="E97">
        <f>Planilha1!L98</f>
        <v/>
      </c>
      <c r="F97">
        <f>Planilha1!K98</f>
        <v/>
      </c>
      <c r="G97">
        <f>Planilha1!P98</f>
        <v/>
      </c>
      <c r="H97">
        <f>Planilha1!O98</f>
        <v/>
      </c>
      <c r="I97">
        <f>Planilha1!N98</f>
        <v/>
      </c>
    </row>
    <row r="98">
      <c r="A98" t="inlineStr">
        <is>
          <t>TRPL4</t>
        </is>
      </c>
      <c r="B98" t="n">
        <v>2020</v>
      </c>
      <c r="C98">
        <f>Planilha1!E99</f>
        <v/>
      </c>
      <c r="D98">
        <f>Planilha1!M99</f>
        <v/>
      </c>
      <c r="E98">
        <f>Planilha1!L99</f>
        <v/>
      </c>
      <c r="F98">
        <f>Planilha1!K99</f>
        <v/>
      </c>
      <c r="G98">
        <f>Planilha1!P99</f>
        <v/>
      </c>
      <c r="H98">
        <f>Planilha1!O99</f>
        <v/>
      </c>
      <c r="I98">
        <f>Planilha1!N99</f>
        <v/>
      </c>
    </row>
    <row r="99">
      <c r="A99" t="inlineStr">
        <is>
          <t>TRPL4</t>
        </is>
      </c>
      <c r="B99" t="n">
        <v>2021</v>
      </c>
      <c r="C99">
        <f>Planilha1!E100</f>
        <v/>
      </c>
      <c r="D99">
        <f>Planilha1!M100</f>
        <v/>
      </c>
      <c r="E99">
        <f>Planilha1!L100</f>
        <v/>
      </c>
      <c r="F99">
        <f>Planilha1!K100</f>
        <v/>
      </c>
      <c r="G99">
        <f>Planilha1!P100</f>
        <v/>
      </c>
      <c r="H99">
        <f>Planilha1!O100</f>
        <v/>
      </c>
      <c r="I99">
        <f>Planilha1!N100</f>
        <v/>
      </c>
    </row>
    <row r="100">
      <c r="A100" t="inlineStr">
        <is>
          <t>TRPL4</t>
        </is>
      </c>
      <c r="B100" t="n">
        <v>2022</v>
      </c>
      <c r="C100">
        <f>Planilha1!E101</f>
        <v/>
      </c>
      <c r="D100">
        <f>Planilha1!M101</f>
        <v/>
      </c>
      <c r="E100">
        <f>Planilha1!L101</f>
        <v/>
      </c>
      <c r="F100">
        <f>Planilha1!K101</f>
        <v/>
      </c>
      <c r="G100">
        <f>Planilha1!P101</f>
        <v/>
      </c>
      <c r="H100">
        <f>Planilha1!O101</f>
        <v/>
      </c>
      <c r="I100">
        <f>Planilha1!N101</f>
        <v/>
      </c>
    </row>
    <row r="101">
      <c r="A101" t="inlineStr">
        <is>
          <t>TRPL4</t>
        </is>
      </c>
      <c r="B101" t="n">
        <v>2023</v>
      </c>
      <c r="C101">
        <f>Planilha1!E102</f>
        <v/>
      </c>
      <c r="D101">
        <f>Planilha1!M102</f>
        <v/>
      </c>
      <c r="E101">
        <f>Planilha1!L102</f>
        <v/>
      </c>
      <c r="F101">
        <f>Planilha1!K102</f>
        <v/>
      </c>
      <c r="G101">
        <f>Planilha1!P102</f>
        <v/>
      </c>
      <c r="H101">
        <f>Planilha1!O102</f>
        <v/>
      </c>
      <c r="I101">
        <f>Planilha1!N102</f>
        <v/>
      </c>
    </row>
    <row r="102">
      <c r="A102" t="inlineStr">
        <is>
          <t>WEGE3</t>
        </is>
      </c>
      <c r="B102" t="n">
        <v>2019</v>
      </c>
      <c r="C102">
        <f>Planilha1!E103</f>
        <v/>
      </c>
      <c r="D102">
        <f>Planilha1!M103</f>
        <v/>
      </c>
      <c r="E102">
        <f>Planilha1!L103</f>
        <v/>
      </c>
      <c r="F102">
        <f>Planilha1!K103</f>
        <v/>
      </c>
      <c r="G102">
        <f>Planilha1!P103</f>
        <v/>
      </c>
      <c r="H102">
        <f>Planilha1!O103</f>
        <v/>
      </c>
      <c r="I102">
        <f>Planilha1!N103</f>
        <v/>
      </c>
    </row>
    <row r="103">
      <c r="A103" t="inlineStr">
        <is>
          <t>WEGE3</t>
        </is>
      </c>
      <c r="B103" t="n">
        <v>2020</v>
      </c>
      <c r="C103">
        <f>Planilha1!E104</f>
        <v/>
      </c>
      <c r="D103">
        <f>Planilha1!M104</f>
        <v/>
      </c>
      <c r="E103">
        <f>Planilha1!L104</f>
        <v/>
      </c>
      <c r="F103">
        <f>Planilha1!K104</f>
        <v/>
      </c>
      <c r="G103">
        <f>Planilha1!P104</f>
        <v/>
      </c>
      <c r="H103">
        <f>Planilha1!O104</f>
        <v/>
      </c>
      <c r="I103">
        <f>Planilha1!N104</f>
        <v/>
      </c>
    </row>
    <row r="104">
      <c r="A104" t="inlineStr">
        <is>
          <t>WEGE3</t>
        </is>
      </c>
      <c r="B104" t="n">
        <v>2021</v>
      </c>
      <c r="C104">
        <f>Planilha1!E105</f>
        <v/>
      </c>
      <c r="D104">
        <f>Planilha1!M105</f>
        <v/>
      </c>
      <c r="E104">
        <f>Planilha1!L105</f>
        <v/>
      </c>
      <c r="F104">
        <f>Planilha1!K105</f>
        <v/>
      </c>
      <c r="G104">
        <f>Planilha1!P105</f>
        <v/>
      </c>
      <c r="H104">
        <f>Planilha1!O105</f>
        <v/>
      </c>
      <c r="I104">
        <f>Planilha1!N105</f>
        <v/>
      </c>
    </row>
    <row r="105">
      <c r="A105" t="inlineStr">
        <is>
          <t>WEGE3</t>
        </is>
      </c>
      <c r="B105" t="n">
        <v>2022</v>
      </c>
      <c r="C105">
        <f>Planilha1!E106</f>
        <v/>
      </c>
      <c r="D105">
        <f>Planilha1!M106</f>
        <v/>
      </c>
      <c r="E105">
        <f>Planilha1!L106</f>
        <v/>
      </c>
      <c r="F105">
        <f>Planilha1!K106</f>
        <v/>
      </c>
      <c r="G105">
        <f>Planilha1!P106</f>
        <v/>
      </c>
      <c r="H105">
        <f>Planilha1!O106</f>
        <v/>
      </c>
      <c r="I105">
        <f>Planilha1!N106</f>
        <v/>
      </c>
    </row>
    <row r="106">
      <c r="A106" t="inlineStr">
        <is>
          <t>WEGE3</t>
        </is>
      </c>
      <c r="B106" t="n">
        <v>2023</v>
      </c>
      <c r="C106">
        <f>Planilha1!E107</f>
        <v/>
      </c>
      <c r="D106">
        <f>Planilha1!M107</f>
        <v/>
      </c>
      <c r="E106">
        <f>Planilha1!L107</f>
        <v/>
      </c>
      <c r="F106">
        <f>Planilha1!K107</f>
        <v/>
      </c>
      <c r="G106">
        <f>Planilha1!P107</f>
        <v/>
      </c>
      <c r="H106">
        <f>Planilha1!O107</f>
        <v/>
      </c>
      <c r="I106">
        <f>Planilha1!N107</f>
        <v/>
      </c>
    </row>
    <row r="107">
      <c r="A107" t="inlineStr">
        <is>
          <t>RADL3</t>
        </is>
      </c>
      <c r="B107" t="n">
        <v>2019</v>
      </c>
      <c r="C107">
        <f>Planilha1!E108</f>
        <v/>
      </c>
      <c r="D107">
        <f>Planilha1!M108</f>
        <v/>
      </c>
      <c r="E107">
        <f>Planilha1!L108</f>
        <v/>
      </c>
      <c r="F107">
        <f>Planilha1!K108</f>
        <v/>
      </c>
      <c r="G107">
        <f>Planilha1!P108</f>
        <v/>
      </c>
      <c r="H107">
        <f>Planilha1!O108</f>
        <v/>
      </c>
      <c r="I107">
        <f>Planilha1!N108</f>
        <v/>
      </c>
    </row>
    <row r="108">
      <c r="A108" t="inlineStr">
        <is>
          <t>RADL3</t>
        </is>
      </c>
      <c r="B108" t="n">
        <v>2020</v>
      </c>
      <c r="C108">
        <f>Planilha1!E109</f>
        <v/>
      </c>
      <c r="D108">
        <f>Planilha1!M109</f>
        <v/>
      </c>
      <c r="E108">
        <f>Planilha1!L109</f>
        <v/>
      </c>
      <c r="F108">
        <f>Planilha1!K109</f>
        <v/>
      </c>
      <c r="G108">
        <f>Planilha1!P109</f>
        <v/>
      </c>
      <c r="H108">
        <f>Planilha1!O109</f>
        <v/>
      </c>
      <c r="I108">
        <f>Planilha1!N109</f>
        <v/>
      </c>
    </row>
    <row r="109">
      <c r="A109" t="inlineStr">
        <is>
          <t>RADL3</t>
        </is>
      </c>
      <c r="B109" t="n">
        <v>2021</v>
      </c>
      <c r="C109">
        <f>Planilha1!E110</f>
        <v/>
      </c>
      <c r="D109">
        <f>Planilha1!M110</f>
        <v/>
      </c>
      <c r="E109">
        <f>Planilha1!L110</f>
        <v/>
      </c>
      <c r="F109">
        <f>Planilha1!K110</f>
        <v/>
      </c>
      <c r="G109">
        <f>Planilha1!P110</f>
        <v/>
      </c>
      <c r="H109">
        <f>Planilha1!O110</f>
        <v/>
      </c>
      <c r="I109">
        <f>Planilha1!N110</f>
        <v/>
      </c>
    </row>
    <row r="110">
      <c r="A110" t="inlineStr">
        <is>
          <t>RADL3</t>
        </is>
      </c>
      <c r="B110" t="n">
        <v>2022</v>
      </c>
      <c r="C110">
        <f>Planilha1!E111</f>
        <v/>
      </c>
      <c r="D110">
        <f>Planilha1!M111</f>
        <v/>
      </c>
      <c r="E110">
        <f>Planilha1!L111</f>
        <v/>
      </c>
      <c r="F110">
        <f>Planilha1!K111</f>
        <v/>
      </c>
      <c r="G110">
        <f>Planilha1!P111</f>
        <v/>
      </c>
      <c r="H110">
        <f>Planilha1!O111</f>
        <v/>
      </c>
      <c r="I110">
        <f>Planilha1!N111</f>
        <v/>
      </c>
    </row>
    <row r="111">
      <c r="A111" t="inlineStr">
        <is>
          <t>RADL3</t>
        </is>
      </c>
      <c r="B111" t="n">
        <v>2023</v>
      </c>
      <c r="C111">
        <f>Planilha1!E112</f>
        <v/>
      </c>
      <c r="D111">
        <f>Planilha1!M112</f>
        <v/>
      </c>
      <c r="E111">
        <f>Planilha1!L112</f>
        <v/>
      </c>
      <c r="F111">
        <f>Planilha1!K112</f>
        <v/>
      </c>
      <c r="G111">
        <f>Planilha1!P112</f>
        <v/>
      </c>
      <c r="H111">
        <f>Planilha1!O112</f>
        <v/>
      </c>
      <c r="I111">
        <f>Planilha1!N112</f>
        <v/>
      </c>
    </row>
    <row r="112">
      <c r="A112" t="inlineStr">
        <is>
          <t>LREN3</t>
        </is>
      </c>
      <c r="B112" t="n">
        <v>2019</v>
      </c>
      <c r="C112">
        <f>Planilha1!E113</f>
        <v/>
      </c>
      <c r="D112">
        <f>Planilha1!M113</f>
        <v/>
      </c>
      <c r="E112">
        <f>Planilha1!L113</f>
        <v/>
      </c>
      <c r="F112">
        <f>Planilha1!K113</f>
        <v/>
      </c>
      <c r="G112">
        <f>Planilha1!P113</f>
        <v/>
      </c>
      <c r="H112">
        <f>Planilha1!O113</f>
        <v/>
      </c>
      <c r="I112">
        <f>Planilha1!N113</f>
        <v/>
      </c>
    </row>
    <row r="113">
      <c r="A113" t="inlineStr">
        <is>
          <t>LREN3</t>
        </is>
      </c>
      <c r="B113" t="n">
        <v>2020</v>
      </c>
      <c r="C113">
        <f>Planilha1!E114</f>
        <v/>
      </c>
      <c r="D113">
        <f>Planilha1!M114</f>
        <v/>
      </c>
      <c r="E113">
        <f>Planilha1!L114</f>
        <v/>
      </c>
      <c r="F113">
        <f>Planilha1!K114</f>
        <v/>
      </c>
      <c r="G113">
        <f>Planilha1!P114</f>
        <v/>
      </c>
      <c r="H113">
        <f>Planilha1!O114</f>
        <v/>
      </c>
      <c r="I113">
        <f>Planilha1!N114</f>
        <v/>
      </c>
    </row>
    <row r="114">
      <c r="A114" t="inlineStr">
        <is>
          <t>LREN3</t>
        </is>
      </c>
      <c r="B114" t="n">
        <v>2021</v>
      </c>
      <c r="C114">
        <f>Planilha1!E115</f>
        <v/>
      </c>
      <c r="D114">
        <f>Planilha1!M115</f>
        <v/>
      </c>
      <c r="E114">
        <f>Planilha1!L115</f>
        <v/>
      </c>
      <c r="F114">
        <f>Planilha1!K115</f>
        <v/>
      </c>
      <c r="G114">
        <f>Planilha1!P115</f>
        <v/>
      </c>
      <c r="H114">
        <f>Planilha1!O115</f>
        <v/>
      </c>
      <c r="I114">
        <f>Planilha1!N115</f>
        <v/>
      </c>
    </row>
    <row r="115">
      <c r="A115" t="inlineStr">
        <is>
          <t>LREN3</t>
        </is>
      </c>
      <c r="B115" t="n">
        <v>2022</v>
      </c>
      <c r="C115">
        <f>Planilha1!E116</f>
        <v/>
      </c>
      <c r="D115">
        <f>Planilha1!M116</f>
        <v/>
      </c>
      <c r="E115">
        <f>Planilha1!L116</f>
        <v/>
      </c>
      <c r="F115">
        <f>Planilha1!K116</f>
        <v/>
      </c>
      <c r="G115">
        <f>Planilha1!P116</f>
        <v/>
      </c>
      <c r="H115">
        <f>Planilha1!O116</f>
        <v/>
      </c>
      <c r="I115">
        <f>Planilha1!N116</f>
        <v/>
      </c>
    </row>
    <row r="116">
      <c r="A116" t="inlineStr">
        <is>
          <t>LREN3</t>
        </is>
      </c>
      <c r="B116" t="n">
        <v>2023</v>
      </c>
      <c r="C116">
        <f>Planilha1!E117</f>
        <v/>
      </c>
      <c r="D116">
        <f>Planilha1!M117</f>
        <v/>
      </c>
      <c r="E116">
        <f>Planilha1!L117</f>
        <v/>
      </c>
      <c r="F116">
        <f>Planilha1!K117</f>
        <v/>
      </c>
      <c r="G116">
        <f>Planilha1!P117</f>
        <v/>
      </c>
      <c r="H116">
        <f>Planilha1!O117</f>
        <v/>
      </c>
      <c r="I116">
        <f>Planilha1!N117</f>
        <v/>
      </c>
    </row>
    <row r="117">
      <c r="A117" t="inlineStr">
        <is>
          <t>MGLU3</t>
        </is>
      </c>
      <c r="B117" t="n">
        <v>2019</v>
      </c>
      <c r="C117">
        <f>Planilha1!E118</f>
        <v/>
      </c>
      <c r="D117">
        <f>Planilha1!M118</f>
        <v/>
      </c>
      <c r="E117">
        <f>Planilha1!L118</f>
        <v/>
      </c>
      <c r="F117">
        <f>Planilha1!K118</f>
        <v/>
      </c>
      <c r="G117">
        <f>Planilha1!P118</f>
        <v/>
      </c>
      <c r="H117">
        <f>Planilha1!O118</f>
        <v/>
      </c>
      <c r="I117">
        <f>Planilha1!N118</f>
        <v/>
      </c>
    </row>
    <row r="118">
      <c r="A118" t="inlineStr">
        <is>
          <t>MGLU3</t>
        </is>
      </c>
      <c r="B118" t="n">
        <v>2020</v>
      </c>
      <c r="C118">
        <f>Planilha1!E119</f>
        <v/>
      </c>
      <c r="D118">
        <f>Planilha1!M119</f>
        <v/>
      </c>
      <c r="E118">
        <f>Planilha1!L119</f>
        <v/>
      </c>
      <c r="F118">
        <f>Planilha1!K119</f>
        <v/>
      </c>
      <c r="G118">
        <f>Planilha1!P119</f>
        <v/>
      </c>
      <c r="H118">
        <f>Planilha1!O119</f>
        <v/>
      </c>
      <c r="I118">
        <f>Planilha1!N119</f>
        <v/>
      </c>
    </row>
    <row r="119">
      <c r="A119" t="inlineStr">
        <is>
          <t>MGLU3</t>
        </is>
      </c>
      <c r="B119" t="n">
        <v>2021</v>
      </c>
      <c r="C119">
        <f>Planilha1!E120</f>
        <v/>
      </c>
      <c r="D119">
        <f>Planilha1!M120</f>
        <v/>
      </c>
      <c r="E119">
        <f>Planilha1!L120</f>
        <v/>
      </c>
      <c r="F119">
        <f>Planilha1!K120</f>
        <v/>
      </c>
      <c r="G119">
        <f>Planilha1!P120</f>
        <v/>
      </c>
      <c r="H119">
        <f>Planilha1!O120</f>
        <v/>
      </c>
      <c r="I119">
        <f>Planilha1!N120</f>
        <v/>
      </c>
    </row>
    <row r="120">
      <c r="A120" t="inlineStr">
        <is>
          <t>MGLU3</t>
        </is>
      </c>
      <c r="B120" t="n">
        <v>2022</v>
      </c>
      <c r="C120">
        <f>Planilha1!E121</f>
        <v/>
      </c>
      <c r="D120">
        <f>Planilha1!M121</f>
        <v/>
      </c>
      <c r="E120">
        <f>Planilha1!L121</f>
        <v/>
      </c>
      <c r="F120">
        <f>Planilha1!K121</f>
        <v/>
      </c>
      <c r="G120">
        <f>Planilha1!P121</f>
        <v/>
      </c>
      <c r="H120">
        <f>Planilha1!O121</f>
        <v/>
      </c>
      <c r="I120">
        <f>Planilha1!N121</f>
        <v/>
      </c>
    </row>
    <row r="121">
      <c r="A121" t="inlineStr">
        <is>
          <t>MGLU3</t>
        </is>
      </c>
      <c r="B121" t="n">
        <v>2023</v>
      </c>
      <c r="C121">
        <f>Planilha1!E122</f>
        <v/>
      </c>
      <c r="D121">
        <f>Planilha1!M122</f>
        <v/>
      </c>
      <c r="E121">
        <f>Planilha1!L122</f>
        <v/>
      </c>
      <c r="F121">
        <f>Planilha1!K122</f>
        <v/>
      </c>
      <c r="G121">
        <f>Planilha1!P122</f>
        <v/>
      </c>
      <c r="H121">
        <f>Planilha1!O122</f>
        <v/>
      </c>
      <c r="I121">
        <f>Planilha1!N122</f>
        <v/>
      </c>
    </row>
    <row r="122">
      <c r="A122" t="inlineStr">
        <is>
          <t>NTCO3</t>
        </is>
      </c>
      <c r="B122" t="n">
        <v>2019</v>
      </c>
      <c r="C122">
        <f>Planilha1!E123</f>
        <v/>
      </c>
      <c r="D122">
        <f>Planilha1!M123</f>
        <v/>
      </c>
      <c r="E122">
        <f>Planilha1!L123</f>
        <v/>
      </c>
      <c r="F122">
        <f>Planilha1!K123</f>
        <v/>
      </c>
      <c r="G122">
        <f>Planilha1!P123</f>
        <v/>
      </c>
      <c r="H122">
        <f>Planilha1!O123</f>
        <v/>
      </c>
      <c r="I122">
        <f>Planilha1!N123</f>
        <v/>
      </c>
    </row>
    <row r="123">
      <c r="A123" t="inlineStr">
        <is>
          <t>NTCO3</t>
        </is>
      </c>
      <c r="B123" t="n">
        <v>2020</v>
      </c>
      <c r="C123">
        <f>Planilha1!E124</f>
        <v/>
      </c>
      <c r="D123">
        <f>Planilha1!M124</f>
        <v/>
      </c>
      <c r="E123">
        <f>Planilha1!L124</f>
        <v/>
      </c>
      <c r="F123">
        <f>Planilha1!K124</f>
        <v/>
      </c>
      <c r="G123">
        <f>Planilha1!P124</f>
        <v/>
      </c>
      <c r="H123">
        <f>Planilha1!O124</f>
        <v/>
      </c>
      <c r="I123">
        <f>Planilha1!N124</f>
        <v/>
      </c>
    </row>
    <row r="124">
      <c r="A124" t="inlineStr">
        <is>
          <t>NTCO3</t>
        </is>
      </c>
      <c r="B124" t="n">
        <v>2021</v>
      </c>
      <c r="C124">
        <f>Planilha1!E125</f>
        <v/>
      </c>
      <c r="D124">
        <f>Planilha1!M125</f>
        <v/>
      </c>
      <c r="E124">
        <f>Planilha1!L125</f>
        <v/>
      </c>
      <c r="F124">
        <f>Planilha1!K125</f>
        <v/>
      </c>
      <c r="G124">
        <f>Planilha1!P125</f>
        <v/>
      </c>
      <c r="H124">
        <f>Planilha1!O125</f>
        <v/>
      </c>
      <c r="I124">
        <f>Planilha1!N125</f>
        <v/>
      </c>
    </row>
    <row r="125">
      <c r="A125" t="inlineStr">
        <is>
          <t>NTCO3</t>
        </is>
      </c>
      <c r="B125" t="n">
        <v>2022</v>
      </c>
      <c r="C125">
        <f>Planilha1!E126</f>
        <v/>
      </c>
      <c r="D125">
        <f>Planilha1!M126</f>
        <v/>
      </c>
      <c r="E125">
        <f>Planilha1!L126</f>
        <v/>
      </c>
      <c r="F125">
        <f>Planilha1!K126</f>
        <v/>
      </c>
      <c r="G125">
        <f>Planilha1!P126</f>
        <v/>
      </c>
      <c r="H125">
        <f>Planilha1!O126</f>
        <v/>
      </c>
      <c r="I125">
        <f>Planilha1!N126</f>
        <v/>
      </c>
    </row>
    <row r="126">
      <c r="A126" t="inlineStr">
        <is>
          <t>NTCO3</t>
        </is>
      </c>
      <c r="B126" t="n">
        <v>2023</v>
      </c>
      <c r="C126">
        <f>Planilha1!E127</f>
        <v/>
      </c>
      <c r="D126">
        <f>Planilha1!M127</f>
        <v/>
      </c>
      <c r="E126">
        <f>Planilha1!L127</f>
        <v/>
      </c>
      <c r="F126">
        <f>Planilha1!K127</f>
        <v/>
      </c>
      <c r="G126">
        <f>Planilha1!P127</f>
        <v/>
      </c>
      <c r="H126">
        <f>Planilha1!O127</f>
        <v/>
      </c>
      <c r="I126">
        <f>Planilha1!N127</f>
        <v/>
      </c>
    </row>
    <row r="127">
      <c r="A127" t="inlineStr">
        <is>
          <t>VIVO3</t>
        </is>
      </c>
      <c r="B127" t="n">
        <v>2019</v>
      </c>
      <c r="C127">
        <f>Planilha1!E128</f>
        <v/>
      </c>
      <c r="D127">
        <f>Planilha1!M128</f>
        <v/>
      </c>
      <c r="E127">
        <f>Planilha1!L128</f>
        <v/>
      </c>
      <c r="F127">
        <f>Planilha1!K128</f>
        <v/>
      </c>
      <c r="G127">
        <f>Planilha1!P128</f>
        <v/>
      </c>
      <c r="H127">
        <f>Planilha1!O128</f>
        <v/>
      </c>
      <c r="I127">
        <f>Planilha1!N128</f>
        <v/>
      </c>
    </row>
    <row r="128">
      <c r="A128" t="inlineStr">
        <is>
          <t>VIVO3</t>
        </is>
      </c>
      <c r="B128" t="n">
        <v>2020</v>
      </c>
      <c r="C128">
        <f>Planilha1!E129</f>
        <v/>
      </c>
      <c r="D128">
        <f>Planilha1!M129</f>
        <v/>
      </c>
      <c r="E128">
        <f>Planilha1!L129</f>
        <v/>
      </c>
      <c r="F128">
        <f>Planilha1!K129</f>
        <v/>
      </c>
      <c r="G128">
        <f>Planilha1!P129</f>
        <v/>
      </c>
      <c r="H128">
        <f>Planilha1!O129</f>
        <v/>
      </c>
      <c r="I128">
        <f>Planilha1!N129</f>
        <v/>
      </c>
    </row>
    <row r="129">
      <c r="A129" t="inlineStr">
        <is>
          <t>VIVO3</t>
        </is>
      </c>
      <c r="B129" t="n">
        <v>2021</v>
      </c>
      <c r="C129">
        <f>Planilha1!E130</f>
        <v/>
      </c>
      <c r="D129">
        <f>Planilha1!M130</f>
        <v/>
      </c>
      <c r="E129">
        <f>Planilha1!L130</f>
        <v/>
      </c>
      <c r="F129">
        <f>Planilha1!K130</f>
        <v/>
      </c>
      <c r="G129">
        <f>Planilha1!P130</f>
        <v/>
      </c>
      <c r="H129">
        <f>Planilha1!O130</f>
        <v/>
      </c>
      <c r="I129">
        <f>Planilha1!N130</f>
        <v/>
      </c>
    </row>
    <row r="130">
      <c r="A130" t="inlineStr">
        <is>
          <t>VIVO3</t>
        </is>
      </c>
      <c r="B130" t="n">
        <v>2022</v>
      </c>
      <c r="C130">
        <f>Planilha1!E131</f>
        <v/>
      </c>
      <c r="D130">
        <f>Planilha1!M131</f>
        <v/>
      </c>
      <c r="E130">
        <f>Planilha1!L131</f>
        <v/>
      </c>
      <c r="F130">
        <f>Planilha1!K131</f>
        <v/>
      </c>
      <c r="G130">
        <f>Planilha1!P131</f>
        <v/>
      </c>
      <c r="H130">
        <f>Planilha1!O131</f>
        <v/>
      </c>
      <c r="I130">
        <f>Planilha1!N131</f>
        <v/>
      </c>
    </row>
    <row r="131">
      <c r="A131" t="inlineStr">
        <is>
          <t>VIVO3</t>
        </is>
      </c>
      <c r="B131" t="n">
        <v>2023</v>
      </c>
      <c r="C131">
        <f>Planilha1!E132</f>
        <v/>
      </c>
      <c r="D131">
        <f>Planilha1!M132</f>
        <v/>
      </c>
      <c r="E131">
        <f>Planilha1!L132</f>
        <v/>
      </c>
      <c r="F131">
        <f>Planilha1!K132</f>
        <v/>
      </c>
      <c r="G131">
        <f>Planilha1!P132</f>
        <v/>
      </c>
      <c r="H131">
        <f>Planilha1!O132</f>
        <v/>
      </c>
      <c r="I131">
        <f>Planilha1!N132</f>
        <v/>
      </c>
    </row>
    <row r="132">
      <c r="A132" t="inlineStr">
        <is>
          <t>TIMS3</t>
        </is>
      </c>
      <c r="B132" t="n">
        <v>2019</v>
      </c>
      <c r="C132">
        <f>Planilha1!E133</f>
        <v/>
      </c>
      <c r="D132">
        <f>Planilha1!M133</f>
        <v/>
      </c>
      <c r="E132">
        <f>Planilha1!L133</f>
        <v/>
      </c>
      <c r="F132">
        <f>Planilha1!K133</f>
        <v/>
      </c>
      <c r="G132">
        <f>Planilha1!P133</f>
        <v/>
      </c>
      <c r="H132">
        <f>Planilha1!O133</f>
        <v/>
      </c>
      <c r="I132">
        <f>Planilha1!N133</f>
        <v/>
      </c>
    </row>
    <row r="133">
      <c r="A133" t="inlineStr">
        <is>
          <t>TIMS3</t>
        </is>
      </c>
      <c r="B133" t="n">
        <v>2020</v>
      </c>
      <c r="C133">
        <f>Planilha1!E134</f>
        <v/>
      </c>
      <c r="D133">
        <f>Planilha1!M134</f>
        <v/>
      </c>
      <c r="E133">
        <f>Planilha1!L134</f>
        <v/>
      </c>
      <c r="F133">
        <f>Planilha1!K134</f>
        <v/>
      </c>
      <c r="G133">
        <f>Planilha1!P134</f>
        <v/>
      </c>
      <c r="H133">
        <f>Planilha1!O134</f>
        <v/>
      </c>
      <c r="I133">
        <f>Planilha1!N134</f>
        <v/>
      </c>
    </row>
    <row r="134">
      <c r="A134" t="inlineStr">
        <is>
          <t>TIMS3</t>
        </is>
      </c>
      <c r="B134" t="n">
        <v>2021</v>
      </c>
      <c r="C134">
        <f>Planilha1!E135</f>
        <v/>
      </c>
      <c r="D134">
        <f>Planilha1!M135</f>
        <v/>
      </c>
      <c r="E134">
        <f>Planilha1!L135</f>
        <v/>
      </c>
      <c r="F134">
        <f>Planilha1!K135</f>
        <v/>
      </c>
      <c r="G134">
        <f>Planilha1!P135</f>
        <v/>
      </c>
      <c r="H134">
        <f>Planilha1!O135</f>
        <v/>
      </c>
      <c r="I134">
        <f>Planilha1!N135</f>
        <v/>
      </c>
    </row>
    <row r="135">
      <c r="A135" t="inlineStr">
        <is>
          <t>TIMS3</t>
        </is>
      </c>
      <c r="B135" t="n">
        <v>2022</v>
      </c>
      <c r="C135">
        <f>Planilha1!E136</f>
        <v/>
      </c>
      <c r="D135">
        <f>Planilha1!M136</f>
        <v/>
      </c>
      <c r="E135">
        <f>Planilha1!L136</f>
        <v/>
      </c>
      <c r="F135">
        <f>Planilha1!K136</f>
        <v/>
      </c>
      <c r="G135">
        <f>Planilha1!P136</f>
        <v/>
      </c>
      <c r="H135">
        <f>Planilha1!O136</f>
        <v/>
      </c>
      <c r="I135">
        <f>Planilha1!N136</f>
        <v/>
      </c>
    </row>
    <row r="136">
      <c r="A136" t="inlineStr">
        <is>
          <t>TIMS3</t>
        </is>
      </c>
      <c r="B136" t="n">
        <v>2023</v>
      </c>
      <c r="C136">
        <f>Planilha1!E137</f>
        <v/>
      </c>
      <c r="D136">
        <f>Planilha1!M137</f>
        <v/>
      </c>
      <c r="E136">
        <f>Planilha1!L137</f>
        <v/>
      </c>
      <c r="F136">
        <f>Planilha1!K137</f>
        <v/>
      </c>
      <c r="G136">
        <f>Planilha1!P137</f>
        <v/>
      </c>
      <c r="H136">
        <f>Planilha1!O137</f>
        <v/>
      </c>
      <c r="I136">
        <f>Planilha1!N137</f>
        <v/>
      </c>
    </row>
    <row r="137">
      <c r="A137" t="inlineStr">
        <is>
          <t>RENT3</t>
        </is>
      </c>
      <c r="B137" t="n">
        <v>2019</v>
      </c>
      <c r="C137">
        <f>Planilha1!E138</f>
        <v/>
      </c>
      <c r="D137">
        <f>Planilha1!M138</f>
        <v/>
      </c>
      <c r="E137">
        <f>Planilha1!L138</f>
        <v/>
      </c>
      <c r="F137">
        <f>Planilha1!K138</f>
        <v/>
      </c>
      <c r="G137">
        <f>Planilha1!P138</f>
        <v/>
      </c>
      <c r="H137">
        <f>Planilha1!O138</f>
        <v/>
      </c>
      <c r="I137">
        <f>Planilha1!N138</f>
        <v/>
      </c>
    </row>
    <row r="138">
      <c r="A138" t="inlineStr">
        <is>
          <t>RENT3</t>
        </is>
      </c>
      <c r="B138" t="n">
        <v>2020</v>
      </c>
      <c r="C138">
        <f>Planilha1!E139</f>
        <v/>
      </c>
      <c r="D138">
        <f>Planilha1!M139</f>
        <v/>
      </c>
      <c r="E138">
        <f>Planilha1!L139</f>
        <v/>
      </c>
      <c r="F138">
        <f>Planilha1!K139</f>
        <v/>
      </c>
      <c r="G138">
        <f>Planilha1!P139</f>
        <v/>
      </c>
      <c r="H138">
        <f>Planilha1!O139</f>
        <v/>
      </c>
      <c r="I138">
        <f>Planilha1!N139</f>
        <v/>
      </c>
    </row>
    <row r="139">
      <c r="A139" t="inlineStr">
        <is>
          <t>RENT3</t>
        </is>
      </c>
      <c r="B139" t="n">
        <v>2021</v>
      </c>
      <c r="C139">
        <f>Planilha1!E140</f>
        <v/>
      </c>
      <c r="D139">
        <f>Planilha1!M140</f>
        <v/>
      </c>
      <c r="E139">
        <f>Planilha1!L140</f>
        <v/>
      </c>
      <c r="F139">
        <f>Planilha1!K140</f>
        <v/>
      </c>
      <c r="G139">
        <f>Planilha1!P140</f>
        <v/>
      </c>
      <c r="H139">
        <f>Planilha1!O140</f>
        <v/>
      </c>
      <c r="I139">
        <f>Planilha1!N140</f>
        <v/>
      </c>
    </row>
    <row r="140">
      <c r="A140" t="inlineStr">
        <is>
          <t>RENT3</t>
        </is>
      </c>
      <c r="B140" t="n">
        <v>2022</v>
      </c>
      <c r="C140">
        <f>Planilha1!E141</f>
        <v/>
      </c>
      <c r="D140">
        <f>Planilha1!M141</f>
        <v/>
      </c>
      <c r="E140">
        <f>Planilha1!L141</f>
        <v/>
      </c>
      <c r="F140">
        <f>Planilha1!K141</f>
        <v/>
      </c>
      <c r="G140">
        <f>Planilha1!P141</f>
        <v/>
      </c>
      <c r="H140">
        <f>Planilha1!O141</f>
        <v/>
      </c>
      <c r="I140">
        <f>Planilha1!N141</f>
        <v/>
      </c>
    </row>
    <row r="141">
      <c r="A141" t="inlineStr">
        <is>
          <t>RENT3</t>
        </is>
      </c>
      <c r="B141" t="n">
        <v>2023</v>
      </c>
      <c r="C141">
        <f>Planilha1!E142</f>
        <v/>
      </c>
      <c r="D141">
        <f>Planilha1!M142</f>
        <v/>
      </c>
      <c r="E141">
        <f>Planilha1!L142</f>
        <v/>
      </c>
      <c r="F141">
        <f>Planilha1!K142</f>
        <v/>
      </c>
      <c r="G141">
        <f>Planilha1!P142</f>
        <v/>
      </c>
      <c r="H141">
        <f>Planilha1!O142</f>
        <v/>
      </c>
      <c r="I141">
        <f>Planilha1!N142</f>
        <v/>
      </c>
    </row>
    <row r="142">
      <c r="A142" t="inlineStr">
        <is>
          <t>CCRO3</t>
        </is>
      </c>
      <c r="B142" t="n">
        <v>2019</v>
      </c>
      <c r="C142">
        <f>Planilha1!E143</f>
        <v/>
      </c>
      <c r="D142">
        <f>Planilha1!M143</f>
        <v/>
      </c>
      <c r="E142">
        <f>Planilha1!L143</f>
        <v/>
      </c>
      <c r="F142">
        <f>Planilha1!K143</f>
        <v/>
      </c>
      <c r="G142">
        <f>Planilha1!P143</f>
        <v/>
      </c>
      <c r="H142">
        <f>Planilha1!O143</f>
        <v/>
      </c>
      <c r="I142">
        <f>Planilha1!N143</f>
        <v/>
      </c>
    </row>
    <row r="143">
      <c r="A143" t="inlineStr">
        <is>
          <t>CCRO3</t>
        </is>
      </c>
      <c r="B143" t="n">
        <v>2020</v>
      </c>
      <c r="C143">
        <f>Planilha1!E144</f>
        <v/>
      </c>
      <c r="D143">
        <f>Planilha1!M144</f>
        <v/>
      </c>
      <c r="E143">
        <f>Planilha1!L144</f>
        <v/>
      </c>
      <c r="F143">
        <f>Planilha1!K144</f>
        <v/>
      </c>
      <c r="G143">
        <f>Planilha1!P144</f>
        <v/>
      </c>
      <c r="H143">
        <f>Planilha1!O144</f>
        <v/>
      </c>
      <c r="I143">
        <f>Planilha1!N144</f>
        <v/>
      </c>
    </row>
    <row r="144">
      <c r="A144" t="inlineStr">
        <is>
          <t>CCRO3</t>
        </is>
      </c>
      <c r="B144" t="n">
        <v>2021</v>
      </c>
      <c r="C144">
        <f>Planilha1!E145</f>
        <v/>
      </c>
      <c r="D144">
        <f>Planilha1!M145</f>
        <v/>
      </c>
      <c r="E144">
        <f>Planilha1!L145</f>
        <v/>
      </c>
      <c r="F144">
        <f>Planilha1!K145</f>
        <v/>
      </c>
      <c r="G144">
        <f>Planilha1!P145</f>
        <v/>
      </c>
      <c r="H144">
        <f>Planilha1!O145</f>
        <v/>
      </c>
      <c r="I144">
        <f>Planilha1!N145</f>
        <v/>
      </c>
    </row>
    <row r="145">
      <c r="A145" t="inlineStr">
        <is>
          <t>CCRO3</t>
        </is>
      </c>
      <c r="B145" t="n">
        <v>2022</v>
      </c>
      <c r="C145">
        <f>Planilha1!E146</f>
        <v/>
      </c>
      <c r="D145">
        <f>Planilha1!M146</f>
        <v/>
      </c>
      <c r="E145">
        <f>Planilha1!L146</f>
        <v/>
      </c>
      <c r="F145">
        <f>Planilha1!K146</f>
        <v/>
      </c>
      <c r="G145">
        <f>Planilha1!P146</f>
        <v/>
      </c>
      <c r="H145">
        <f>Planilha1!O146</f>
        <v/>
      </c>
      <c r="I145">
        <f>Planilha1!N146</f>
        <v/>
      </c>
    </row>
    <row r="146">
      <c r="A146" t="inlineStr">
        <is>
          <t>CCRO3</t>
        </is>
      </c>
      <c r="B146" t="n">
        <v>2023</v>
      </c>
      <c r="C146">
        <f>Planilha1!E147</f>
        <v/>
      </c>
      <c r="D146">
        <f>Planilha1!M147</f>
        <v/>
      </c>
      <c r="E146">
        <f>Planilha1!L147</f>
        <v/>
      </c>
      <c r="F146">
        <f>Planilha1!K147</f>
        <v/>
      </c>
      <c r="G146">
        <f>Planilha1!P147</f>
        <v/>
      </c>
      <c r="H146">
        <f>Planilha1!O147</f>
        <v/>
      </c>
      <c r="I146">
        <f>Planilha1!N147</f>
        <v/>
      </c>
    </row>
    <row r="147">
      <c r="A147" t="inlineStr">
        <is>
          <t>MDIA3</t>
        </is>
      </c>
      <c r="B147" t="n">
        <v>2019</v>
      </c>
      <c r="C147">
        <f>Planilha1!E148</f>
        <v/>
      </c>
      <c r="D147">
        <f>Planilha1!M148</f>
        <v/>
      </c>
      <c r="E147">
        <f>Planilha1!L148</f>
        <v/>
      </c>
      <c r="F147">
        <f>Planilha1!K148</f>
        <v/>
      </c>
      <c r="G147">
        <f>Planilha1!P148</f>
        <v/>
      </c>
      <c r="H147">
        <f>Planilha1!O148</f>
        <v/>
      </c>
      <c r="I147">
        <f>Planilha1!N148</f>
        <v/>
      </c>
    </row>
    <row r="148">
      <c r="A148" t="inlineStr">
        <is>
          <t>MDIA3</t>
        </is>
      </c>
      <c r="B148" t="n">
        <v>2020</v>
      </c>
      <c r="C148">
        <f>Planilha1!E149</f>
        <v/>
      </c>
      <c r="D148">
        <f>Planilha1!M149</f>
        <v/>
      </c>
      <c r="E148">
        <f>Planilha1!L149</f>
        <v/>
      </c>
      <c r="F148">
        <f>Planilha1!K149</f>
        <v/>
      </c>
      <c r="G148">
        <f>Planilha1!P149</f>
        <v/>
      </c>
      <c r="H148">
        <f>Planilha1!O149</f>
        <v/>
      </c>
      <c r="I148">
        <f>Planilha1!N149</f>
        <v/>
      </c>
    </row>
    <row r="149">
      <c r="A149" t="inlineStr">
        <is>
          <t>MDIA3</t>
        </is>
      </c>
      <c r="B149" t="n">
        <v>2021</v>
      </c>
      <c r="C149">
        <f>Planilha1!E150</f>
        <v/>
      </c>
      <c r="D149">
        <f>Planilha1!M150</f>
        <v/>
      </c>
      <c r="E149">
        <f>Planilha1!L150</f>
        <v/>
      </c>
      <c r="F149">
        <f>Planilha1!K150</f>
        <v/>
      </c>
      <c r="G149">
        <f>Planilha1!P150</f>
        <v/>
      </c>
      <c r="H149">
        <f>Planilha1!O150</f>
        <v/>
      </c>
      <c r="I149">
        <f>Planilha1!N150</f>
        <v/>
      </c>
    </row>
    <row r="150">
      <c r="A150" t="inlineStr">
        <is>
          <t>MDIA3</t>
        </is>
      </c>
      <c r="B150" t="n">
        <v>2022</v>
      </c>
      <c r="C150">
        <f>Planilha1!E151</f>
        <v/>
      </c>
      <c r="D150">
        <f>Planilha1!M151</f>
        <v/>
      </c>
      <c r="E150">
        <f>Planilha1!L151</f>
        <v/>
      </c>
      <c r="F150">
        <f>Planilha1!K151</f>
        <v/>
      </c>
      <c r="G150">
        <f>Planilha1!P151</f>
        <v/>
      </c>
      <c r="H150">
        <f>Planilha1!O151</f>
        <v/>
      </c>
      <c r="I150">
        <f>Planilha1!N151</f>
        <v/>
      </c>
    </row>
    <row r="151">
      <c r="A151" t="inlineStr">
        <is>
          <t>MDIA3</t>
        </is>
      </c>
      <c r="B151" t="n">
        <v>2023</v>
      </c>
      <c r="C151">
        <f>Planilha1!E152</f>
        <v/>
      </c>
      <c r="D151">
        <f>Planilha1!M152</f>
        <v/>
      </c>
      <c r="E151">
        <f>Planilha1!L152</f>
        <v/>
      </c>
      <c r="F151">
        <f>Planilha1!K152</f>
        <v/>
      </c>
      <c r="G151">
        <f>Planilha1!P152</f>
        <v/>
      </c>
      <c r="H151">
        <f>Planilha1!O152</f>
        <v/>
      </c>
      <c r="I151">
        <f>Planilha1!N152</f>
        <v/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Fiscal</dc:creator>
  <dcterms:created xmlns:dcterms="http://purl.org/dc/terms/" xmlns:xsi="http://www.w3.org/2001/XMLSchema-instance" xsi:type="dcterms:W3CDTF">2026-10-22T19:17:21Z</dcterms:created>
  <dcterms:modified xmlns:dcterms="http://purl.org/dc/terms/" xmlns:xsi="http://www.w3.org/2001/XMLSchema-instance" xsi:type="dcterms:W3CDTF">2026-10-27T17:52:33Z</dcterms:modified>
  <cp:lastModifiedBy>Fiscal</cp:lastModifiedBy>
</cp:coreProperties>
</file>